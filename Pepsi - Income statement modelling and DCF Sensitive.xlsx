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D\Downloads\"/>
    </mc:Choice>
  </mc:AlternateContent>
  <xr:revisionPtr revIDLastSave="0" documentId="8_{37A8CEA5-2C62-4EA5-A94C-454DDEA1115E}" xr6:coauthVersionLast="47" xr6:coauthVersionMax="47" xr10:uidLastSave="{00000000-0000-0000-0000-000000000000}"/>
  <bookViews>
    <workbookView xWindow="-108" yWindow="-108" windowWidth="23256" windowHeight="12576" tabRatio="684" xr2:uid="{00000000-000D-0000-FFFF-FFFF00000000}"/>
  </bookViews>
  <sheets>
    <sheet name="Dashboard" sheetId="20" r:id="rId1"/>
    <sheet name="Income Statement" sheetId="1" r:id="rId2"/>
    <sheet name="Cash Flow Statement" sheetId="5" r:id="rId3"/>
    <sheet name="Balance Sheet" sheetId="4" r:id="rId4"/>
    <sheet name="Shareholders equity" sheetId="19" r:id="rId5"/>
    <sheet name="Working capital" sheetId="17" r:id="rId6"/>
    <sheet name="PPE Schedule" sheetId="2" r:id="rId7"/>
    <sheet name="Debt Schedule" sheetId="3" r:id="rId8"/>
    <sheet name="DCF" sheetId="7" r:id="rId9"/>
    <sheet name="Football Field" sheetId="13" state="hidden" r:id="rId10"/>
    <sheet name="Charts" sheetId="14" state="hidden" r:id="rId11"/>
  </sheets>
  <definedNames>
    <definedName name="_xlchart.v1.0" hidden="1">'PPE Schedule'!$A$11</definedName>
    <definedName name="_xlchart.v1.1" hidden="1">'PPE Schedule'!$B$11:$T$11</definedName>
    <definedName name="_xlchart.v1.2" hidden="1">'PPE Schedule'!$B$8:$T$8</definedName>
    <definedName name="_xlnm.Print_Area" localSheetId="3">'Balance Sheet'!$A$1:$Q$58</definedName>
    <definedName name="_xlnm.Print_Area" localSheetId="8">DCF!$A$1:$L$39,DCF!$E$56:$K$63</definedName>
    <definedName name="_xlnm.Print_Area" localSheetId="7">'Debt Schedule'!$A$1:$P$38</definedName>
    <definedName name="_xlnm.Print_Area" localSheetId="1">'Income Statement'!$A$1:$Z$39</definedName>
  </definedNames>
  <calcPr calcId="191029" iterate="1" iterateCount="5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20" l="1"/>
  <c r="F55" i="20"/>
  <c r="F56" i="20"/>
  <c r="F57" i="20"/>
  <c r="E54" i="20"/>
  <c r="E55" i="20"/>
  <c r="E56" i="20"/>
  <c r="E57" i="20"/>
  <c r="F53" i="20"/>
  <c r="E53" i="20"/>
  <c r="E43" i="20"/>
  <c r="C40" i="20"/>
  <c r="C41" i="20" s="1"/>
  <c r="D40" i="20"/>
  <c r="E40" i="20"/>
  <c r="C39" i="20"/>
  <c r="D39" i="20"/>
  <c r="E39" i="20"/>
  <c r="B39" i="20"/>
  <c r="C38" i="20"/>
  <c r="D38" i="20"/>
  <c r="E38" i="20"/>
  <c r="F38" i="20"/>
  <c r="G38" i="20"/>
  <c r="H38" i="20"/>
  <c r="I38" i="20"/>
  <c r="J38" i="20"/>
  <c r="K38" i="20"/>
  <c r="L38" i="20"/>
  <c r="B38" i="20"/>
  <c r="B33" i="7"/>
  <c r="B65" i="7"/>
  <c r="B85" i="7"/>
  <c r="B86" i="7"/>
  <c r="B87" i="7"/>
  <c r="B89" i="7"/>
  <c r="B79" i="7"/>
  <c r="B82" i="7" s="1"/>
  <c r="B54" i="7"/>
  <c r="B27" i="7"/>
  <c r="C46" i="7"/>
  <c r="G23" i="1"/>
  <c r="H23" i="1"/>
  <c r="I23" i="1"/>
  <c r="J23" i="1"/>
  <c r="K23" i="1"/>
  <c r="L23" i="1"/>
  <c r="D30" i="3"/>
  <c r="E30" i="3"/>
  <c r="F30" i="3"/>
  <c r="C30" i="3"/>
  <c r="D29" i="3"/>
  <c r="E29" i="3"/>
  <c r="F29" i="3"/>
  <c r="C29" i="3"/>
  <c r="H29" i="3"/>
  <c r="I29" i="3"/>
  <c r="J29" i="3"/>
  <c r="K29" i="3"/>
  <c r="L29" i="3"/>
  <c r="G29" i="3"/>
  <c r="C27" i="4"/>
  <c r="C18" i="4"/>
  <c r="C22" i="4"/>
  <c r="C40" i="4"/>
  <c r="D11" i="5"/>
  <c r="D12" i="5"/>
  <c r="D13" i="5"/>
  <c r="D14" i="5"/>
  <c r="D17" i="5"/>
  <c r="D33" i="5"/>
  <c r="D35" i="5"/>
  <c r="D18" i="4"/>
  <c r="D22" i="4"/>
  <c r="D40" i="4"/>
  <c r="D31" i="4"/>
  <c r="D41" i="4"/>
  <c r="D43" i="4"/>
  <c r="E11" i="5"/>
  <c r="E12" i="5"/>
  <c r="E13" i="5"/>
  <c r="E14" i="5"/>
  <c r="E17" i="5"/>
  <c r="E33" i="5"/>
  <c r="E34" i="5"/>
  <c r="E35" i="5"/>
  <c r="E18" i="4"/>
  <c r="E22" i="4"/>
  <c r="E40" i="4"/>
  <c r="E31" i="4"/>
  <c r="E41" i="4"/>
  <c r="E43" i="4"/>
  <c r="F11" i="5"/>
  <c r="F12" i="5"/>
  <c r="F13" i="5"/>
  <c r="F14" i="5"/>
  <c r="F17" i="5"/>
  <c r="F33" i="5"/>
  <c r="F34" i="5"/>
  <c r="F35" i="5"/>
  <c r="F18" i="4"/>
  <c r="F22" i="4"/>
  <c r="F40" i="4"/>
  <c r="F31" i="4"/>
  <c r="F41" i="4"/>
  <c r="F43" i="4"/>
  <c r="G8" i="4"/>
  <c r="G16" i="4"/>
  <c r="H8" i="4"/>
  <c r="H16" i="4"/>
  <c r="I8" i="4"/>
  <c r="I16" i="4"/>
  <c r="J8" i="4"/>
  <c r="J16" i="4"/>
  <c r="K8" i="4"/>
  <c r="K16" i="4"/>
  <c r="L8" i="4"/>
  <c r="L16" i="4"/>
  <c r="C4" i="4"/>
  <c r="B8" i="7"/>
  <c r="B9" i="7"/>
  <c r="B10" i="7"/>
  <c r="B12" i="7"/>
  <c r="D6" i="17"/>
  <c r="D8" i="17"/>
  <c r="D10" i="17"/>
  <c r="D12" i="17"/>
  <c r="D14" i="17"/>
  <c r="E6" i="17"/>
  <c r="E8" i="17"/>
  <c r="E10" i="17"/>
  <c r="E12" i="17"/>
  <c r="E14" i="17"/>
  <c r="E16" i="17"/>
  <c r="E19" i="17"/>
  <c r="D16" i="17"/>
  <c r="D19" i="17"/>
  <c r="E22" i="17"/>
  <c r="B14" i="7"/>
  <c r="B16" i="7"/>
  <c r="C12" i="7"/>
  <c r="D12" i="7"/>
  <c r="E12" i="7"/>
  <c r="F12" i="7"/>
  <c r="G12" i="7"/>
  <c r="H12" i="7"/>
  <c r="C10" i="7"/>
  <c r="D10" i="7"/>
  <c r="E10" i="7"/>
  <c r="F10" i="7"/>
  <c r="G10" i="7"/>
  <c r="H10" i="7"/>
  <c r="C6" i="7"/>
  <c r="D6" i="7"/>
  <c r="E6" i="7"/>
  <c r="F6" i="7"/>
  <c r="G6" i="7"/>
  <c r="H6" i="7"/>
  <c r="B6" i="7"/>
  <c r="D6" i="2"/>
  <c r="E6" i="2"/>
  <c r="F6" i="2"/>
  <c r="G6" i="1"/>
  <c r="G6" i="2"/>
  <c r="H6" i="1"/>
  <c r="H6" i="2"/>
  <c r="I6" i="1"/>
  <c r="I6" i="2"/>
  <c r="J6" i="1"/>
  <c r="J6" i="2"/>
  <c r="K6" i="1"/>
  <c r="K6" i="2"/>
  <c r="L6" i="1"/>
  <c r="L6" i="2"/>
  <c r="D12" i="1"/>
  <c r="E12" i="1"/>
  <c r="F12" i="1"/>
  <c r="G14" i="1"/>
  <c r="H14" i="1"/>
  <c r="I14" i="1"/>
  <c r="J14" i="1"/>
  <c r="K14" i="1"/>
  <c r="L14" i="1"/>
  <c r="C6" i="2"/>
  <c r="F3" i="17"/>
  <c r="F12" i="17"/>
  <c r="C11" i="3"/>
  <c r="D11" i="3"/>
  <c r="E11" i="3"/>
  <c r="F11" i="3"/>
  <c r="F19" i="3"/>
  <c r="G17" i="3"/>
  <c r="G12" i="3"/>
  <c r="G18" i="3"/>
  <c r="G23" i="3"/>
  <c r="G27" i="5"/>
  <c r="D12" i="3"/>
  <c r="C19" i="3"/>
  <c r="D17" i="3"/>
  <c r="E12" i="3"/>
  <c r="D19" i="3"/>
  <c r="E17" i="3"/>
  <c r="F12" i="3"/>
  <c r="E19" i="3"/>
  <c r="F17" i="3"/>
  <c r="C12" i="3"/>
  <c r="C9" i="3"/>
  <c r="C2" i="19"/>
  <c r="C3" i="19"/>
  <c r="C4" i="19"/>
  <c r="C5" i="19"/>
  <c r="C6" i="19"/>
  <c r="C7" i="19"/>
  <c r="C15" i="19"/>
  <c r="C17" i="19"/>
  <c r="D2" i="19"/>
  <c r="D3" i="19"/>
  <c r="D4" i="19"/>
  <c r="D5" i="19"/>
  <c r="D6" i="19"/>
  <c r="D7" i="19"/>
  <c r="D15" i="19"/>
  <c r="D17" i="19"/>
  <c r="E2" i="19"/>
  <c r="E3" i="19"/>
  <c r="E4" i="19"/>
  <c r="E5" i="19"/>
  <c r="E6" i="19"/>
  <c r="E7" i="19"/>
  <c r="E15" i="19"/>
  <c r="E17" i="19"/>
  <c r="F2" i="19"/>
  <c r="F3" i="19"/>
  <c r="F4" i="19"/>
  <c r="F5" i="19"/>
  <c r="F6" i="19"/>
  <c r="F7" i="19"/>
  <c r="G2" i="19"/>
  <c r="G3" i="19"/>
  <c r="G4" i="19"/>
  <c r="G5" i="19"/>
  <c r="G6" i="19"/>
  <c r="G7" i="19"/>
  <c r="H2" i="19"/>
  <c r="H3" i="19"/>
  <c r="H4" i="19"/>
  <c r="H5" i="19"/>
  <c r="H6" i="19"/>
  <c r="H7" i="19"/>
  <c r="I2" i="19"/>
  <c r="I3" i="19"/>
  <c r="I4" i="19"/>
  <c r="I5" i="19"/>
  <c r="I6" i="19"/>
  <c r="I7" i="19"/>
  <c r="J2" i="19"/>
  <c r="J3" i="19"/>
  <c r="J4" i="19"/>
  <c r="J5" i="19"/>
  <c r="J6" i="19"/>
  <c r="J7" i="19"/>
  <c r="K2" i="19"/>
  <c r="K3" i="19"/>
  <c r="K4" i="19"/>
  <c r="K5" i="19"/>
  <c r="K6" i="19"/>
  <c r="K7" i="19"/>
  <c r="B2" i="19"/>
  <c r="B3" i="19"/>
  <c r="B4" i="19"/>
  <c r="B5" i="19"/>
  <c r="B6" i="19"/>
  <c r="B7" i="19"/>
  <c r="D11" i="19"/>
  <c r="E11" i="19"/>
  <c r="F11" i="19"/>
  <c r="D8" i="2"/>
  <c r="D36" i="1"/>
  <c r="E8" i="2"/>
  <c r="E36" i="1"/>
  <c r="F8" i="2"/>
  <c r="F36" i="1"/>
  <c r="G8" i="2"/>
  <c r="G36" i="1"/>
  <c r="H8" i="2"/>
  <c r="H36" i="1"/>
  <c r="I8" i="2"/>
  <c r="I36" i="1"/>
  <c r="J8" i="2"/>
  <c r="J36" i="1"/>
  <c r="K8" i="2"/>
  <c r="K36" i="1"/>
  <c r="L8" i="2"/>
  <c r="L36" i="1"/>
  <c r="C8" i="2"/>
  <c r="C36" i="1"/>
  <c r="D11" i="2"/>
  <c r="D35" i="1"/>
  <c r="E11" i="2"/>
  <c r="E35" i="1"/>
  <c r="F11" i="2"/>
  <c r="F35" i="1"/>
  <c r="C11" i="2"/>
  <c r="C13" i="2"/>
  <c r="D7" i="2"/>
  <c r="D13" i="2"/>
  <c r="E7" i="2"/>
  <c r="E13" i="2"/>
  <c r="F7" i="2"/>
  <c r="F13" i="2"/>
  <c r="G7" i="2"/>
  <c r="G11" i="2"/>
  <c r="G35" i="1"/>
  <c r="G13" i="2"/>
  <c r="H7" i="2"/>
  <c r="H11" i="2"/>
  <c r="H35" i="1"/>
  <c r="H13" i="2"/>
  <c r="I7" i="2"/>
  <c r="I11" i="2"/>
  <c r="I35" i="1"/>
  <c r="I13" i="2"/>
  <c r="J7" i="2"/>
  <c r="J11" i="2"/>
  <c r="J35" i="1"/>
  <c r="J13" i="2"/>
  <c r="K7" i="2"/>
  <c r="K11" i="2"/>
  <c r="K35" i="1"/>
  <c r="K13" i="2"/>
  <c r="L7" i="2"/>
  <c r="L11" i="2"/>
  <c r="L35" i="1"/>
  <c r="C35" i="1"/>
  <c r="D44" i="1"/>
  <c r="D20" i="1"/>
  <c r="D25" i="1"/>
  <c r="D31" i="1"/>
  <c r="D45" i="1"/>
  <c r="E44" i="1"/>
  <c r="E20" i="1"/>
  <c r="E25" i="1"/>
  <c r="E31" i="1"/>
  <c r="E45" i="1"/>
  <c r="F44" i="1"/>
  <c r="F20" i="1"/>
  <c r="F25" i="1"/>
  <c r="F31" i="1"/>
  <c r="F45" i="1"/>
  <c r="C44" i="1"/>
  <c r="D40" i="1"/>
  <c r="E40" i="1"/>
  <c r="F40" i="1"/>
  <c r="C1" i="19"/>
  <c r="D1" i="19"/>
  <c r="E1" i="19"/>
  <c r="F1" i="19"/>
  <c r="G1" i="19"/>
  <c r="H1" i="19"/>
  <c r="I1" i="19"/>
  <c r="J1" i="19"/>
  <c r="K1" i="19"/>
  <c r="B1" i="19"/>
  <c r="D6" i="5"/>
  <c r="D6" i="3"/>
  <c r="D22" i="5"/>
  <c r="D7" i="3"/>
  <c r="E6" i="5"/>
  <c r="E6" i="3"/>
  <c r="E22" i="5"/>
  <c r="E7" i="3"/>
  <c r="F6" i="5"/>
  <c r="F6" i="3"/>
  <c r="F22" i="5"/>
  <c r="F7" i="3"/>
  <c r="G19" i="5"/>
  <c r="G22" i="5"/>
  <c r="G7" i="3"/>
  <c r="H19" i="5"/>
  <c r="H22" i="5"/>
  <c r="H7" i="3"/>
  <c r="I19" i="5"/>
  <c r="I22" i="5"/>
  <c r="I7" i="3"/>
  <c r="J19" i="5"/>
  <c r="J22" i="5"/>
  <c r="J7" i="3"/>
  <c r="K19" i="5"/>
  <c r="K22" i="5"/>
  <c r="K7" i="3"/>
  <c r="L19" i="5"/>
  <c r="L22" i="5"/>
  <c r="L7" i="3"/>
  <c r="C22" i="5"/>
  <c r="C7" i="3"/>
  <c r="F16" i="17"/>
  <c r="G36" i="4"/>
  <c r="G3" i="17"/>
  <c r="G16" i="17"/>
  <c r="H36" i="4"/>
  <c r="H3" i="17"/>
  <c r="H16" i="17"/>
  <c r="I36" i="4"/>
  <c r="I3" i="17"/>
  <c r="I16" i="17"/>
  <c r="J36" i="4"/>
  <c r="J3" i="17"/>
  <c r="J16" i="17"/>
  <c r="K36" i="4"/>
  <c r="K3" i="17"/>
  <c r="K16" i="17"/>
  <c r="L36" i="4"/>
  <c r="H4" i="3"/>
  <c r="I4" i="3"/>
  <c r="J4" i="3"/>
  <c r="K4" i="3"/>
  <c r="L4" i="3"/>
  <c r="G4" i="3"/>
  <c r="D30" i="5"/>
  <c r="E30" i="5"/>
  <c r="G8" i="5"/>
  <c r="G19" i="4"/>
  <c r="G15" i="5"/>
  <c r="H8" i="5"/>
  <c r="G12" i="17"/>
  <c r="H19" i="4"/>
  <c r="H15" i="5"/>
  <c r="I8" i="5"/>
  <c r="H12" i="17"/>
  <c r="I19" i="4"/>
  <c r="I15" i="5"/>
  <c r="J8" i="5"/>
  <c r="I12" i="17"/>
  <c r="J19" i="4"/>
  <c r="J15" i="5"/>
  <c r="K8" i="5"/>
  <c r="J12" i="17"/>
  <c r="K19" i="4"/>
  <c r="K15" i="5"/>
  <c r="C6" i="17"/>
  <c r="C8" i="17"/>
  <c r="C10" i="17"/>
  <c r="C12" i="17"/>
  <c r="C14" i="17"/>
  <c r="C16" i="17"/>
  <c r="C19" i="17"/>
  <c r="D22" i="17"/>
  <c r="B6" i="17"/>
  <c r="B8" i="17"/>
  <c r="B10" i="17"/>
  <c r="B12" i="17"/>
  <c r="B14" i="17"/>
  <c r="B16" i="17"/>
  <c r="B19" i="17"/>
  <c r="C22" i="17"/>
  <c r="H12" i="5"/>
  <c r="I12" i="5"/>
  <c r="J12" i="5"/>
  <c r="K12" i="5"/>
  <c r="L12" i="5"/>
  <c r="G12" i="5"/>
  <c r="K12" i="17"/>
  <c r="L19" i="4"/>
  <c r="L15" i="5"/>
  <c r="F10" i="17"/>
  <c r="G21" i="4"/>
  <c r="G10" i="17"/>
  <c r="H21" i="4"/>
  <c r="H14" i="5"/>
  <c r="H10" i="17"/>
  <c r="I21" i="4"/>
  <c r="I14" i="5"/>
  <c r="I10" i="17"/>
  <c r="J21" i="4"/>
  <c r="J14" i="5"/>
  <c r="J10" i="17"/>
  <c r="K21" i="4"/>
  <c r="K14" i="5"/>
  <c r="K10" i="17"/>
  <c r="L21" i="4"/>
  <c r="L14" i="5"/>
  <c r="G14" i="5"/>
  <c r="G6" i="17"/>
  <c r="F6" i="17"/>
  <c r="H11" i="5"/>
  <c r="H6" i="17"/>
  <c r="I11" i="5"/>
  <c r="I6" i="17"/>
  <c r="J11" i="5"/>
  <c r="J6" i="17"/>
  <c r="K11" i="5"/>
  <c r="K6" i="17"/>
  <c r="L11" i="5"/>
  <c r="G11" i="5"/>
  <c r="D20" i="17"/>
  <c r="C20" i="17"/>
  <c r="E20" i="17"/>
  <c r="F19" i="17"/>
  <c r="G19" i="17"/>
  <c r="H19" i="17"/>
  <c r="I19" i="17"/>
  <c r="J19" i="17"/>
  <c r="K19" i="17"/>
  <c r="C3" i="17"/>
  <c r="O16" i="17"/>
  <c r="C17" i="17"/>
  <c r="D3" i="17"/>
  <c r="P16" i="17"/>
  <c r="D17" i="17"/>
  <c r="E3" i="17"/>
  <c r="Q16" i="17"/>
  <c r="E17" i="17"/>
  <c r="B3" i="17"/>
  <c r="N16" i="17"/>
  <c r="B17" i="17"/>
  <c r="O12" i="17"/>
  <c r="C13" i="17"/>
  <c r="P12" i="17"/>
  <c r="D13" i="17"/>
  <c r="Q12" i="17"/>
  <c r="E13" i="17"/>
  <c r="N12" i="17"/>
  <c r="B13" i="17"/>
  <c r="O10" i="17"/>
  <c r="C11" i="17"/>
  <c r="P10" i="17"/>
  <c r="D11" i="17"/>
  <c r="Q10" i="17"/>
  <c r="E11" i="17"/>
  <c r="N10" i="17"/>
  <c r="B11" i="17"/>
  <c r="C4" i="17"/>
  <c r="O8" i="17"/>
  <c r="C9" i="17"/>
  <c r="D4" i="17"/>
  <c r="P8" i="17"/>
  <c r="D9" i="17"/>
  <c r="E4" i="17"/>
  <c r="Q8" i="17"/>
  <c r="E9" i="17"/>
  <c r="O6" i="17"/>
  <c r="C7" i="17"/>
  <c r="P6" i="17"/>
  <c r="D7" i="17"/>
  <c r="Q6" i="17"/>
  <c r="E7" i="17"/>
  <c r="N6" i="17"/>
  <c r="B7" i="17"/>
  <c r="C1" i="17"/>
  <c r="D1" i="17"/>
  <c r="E1" i="17"/>
  <c r="F1" i="17"/>
  <c r="G1" i="17"/>
  <c r="H1" i="17"/>
  <c r="I1" i="17"/>
  <c r="J1" i="17"/>
  <c r="K1" i="17"/>
  <c r="B1" i="17"/>
  <c r="L13" i="2"/>
  <c r="H4" i="5"/>
  <c r="I4" i="5"/>
  <c r="J4" i="5"/>
  <c r="K4" i="5"/>
  <c r="L4" i="5"/>
  <c r="L8" i="5"/>
  <c r="H4" i="4"/>
  <c r="I4" i="4"/>
  <c r="J4" i="4"/>
  <c r="K4" i="4"/>
  <c r="L4" i="4"/>
  <c r="G4" i="4"/>
  <c r="D12" i="2"/>
  <c r="E12" i="2"/>
  <c r="F12" i="2"/>
  <c r="C12" i="2"/>
  <c r="D9" i="2"/>
  <c r="E9" i="2"/>
  <c r="F9" i="2"/>
  <c r="C9" i="2"/>
  <c r="H4" i="2"/>
  <c r="I4" i="2"/>
  <c r="J4" i="2"/>
  <c r="K4" i="2"/>
  <c r="L4" i="2"/>
  <c r="G4" i="2"/>
  <c r="F30" i="5"/>
  <c r="C30" i="5"/>
  <c r="G4" i="5"/>
  <c r="D18" i="1"/>
  <c r="E18" i="1"/>
  <c r="F18" i="1"/>
  <c r="C18" i="1"/>
  <c r="E15" i="1"/>
  <c r="D15" i="1"/>
  <c r="F15" i="1"/>
  <c r="C15" i="1"/>
  <c r="E7" i="1"/>
  <c r="F7" i="1"/>
  <c r="D7" i="1"/>
  <c r="D2" i="14"/>
  <c r="E2" i="14"/>
  <c r="F2" i="14"/>
  <c r="G2" i="14"/>
  <c r="H2" i="14"/>
  <c r="E8" i="13"/>
  <c r="E15" i="13"/>
  <c r="D16" i="13"/>
  <c r="D15" i="13"/>
  <c r="D14" i="13"/>
  <c r="C17" i="13"/>
  <c r="C16" i="13"/>
  <c r="C15" i="13"/>
  <c r="C14" i="13"/>
  <c r="E9" i="13"/>
  <c r="E14" i="13"/>
  <c r="E7" i="13"/>
  <c r="E16" i="13"/>
  <c r="A4" i="7"/>
  <c r="F62" i="7"/>
  <c r="F63" i="7"/>
  <c r="J58" i="7"/>
  <c r="K58" i="7"/>
  <c r="F5" i="7"/>
  <c r="G5" i="7"/>
  <c r="H5" i="7"/>
  <c r="B4" i="3"/>
  <c r="B4" i="2"/>
  <c r="D4" i="2"/>
  <c r="C4" i="3"/>
  <c r="D4" i="5"/>
  <c r="C4" i="2"/>
  <c r="F4" i="3"/>
  <c r="F4" i="4"/>
  <c r="C4" i="5"/>
  <c r="F4" i="2"/>
  <c r="E4" i="3"/>
  <c r="E4" i="4"/>
  <c r="F4" i="5"/>
  <c r="D4" i="3"/>
  <c r="D4" i="4"/>
  <c r="E4" i="5"/>
  <c r="L17" i="1"/>
  <c r="K17" i="1"/>
  <c r="J17" i="1"/>
  <c r="I17" i="1"/>
  <c r="H17" i="1"/>
  <c r="F32" i="1"/>
  <c r="F21" i="1"/>
  <c r="E21" i="1"/>
  <c r="D21" i="1"/>
  <c r="F26" i="1"/>
  <c r="E26" i="1"/>
  <c r="D26" i="1"/>
  <c r="E32" i="1"/>
  <c r="D32" i="1"/>
  <c r="F29" i="1"/>
  <c r="E29" i="1"/>
  <c r="D29" i="1"/>
  <c r="F10" i="1"/>
  <c r="E10" i="1"/>
  <c r="D10" i="1"/>
  <c r="B20" i="17"/>
  <c r="G19" i="3"/>
  <c r="G32" i="4"/>
  <c r="H17" i="3"/>
  <c r="H12" i="3"/>
  <c r="H18" i="3"/>
  <c r="H19" i="3"/>
  <c r="H32" i="4"/>
  <c r="I17" i="3"/>
  <c r="I12" i="3"/>
  <c r="I18" i="3"/>
  <c r="I19" i="3"/>
  <c r="I32" i="4"/>
  <c r="J17" i="3"/>
  <c r="J12" i="3"/>
  <c r="J18" i="3"/>
  <c r="J19" i="3"/>
  <c r="J32" i="4"/>
  <c r="K17" i="3"/>
  <c r="K12" i="3"/>
  <c r="K18" i="3"/>
  <c r="K19" i="3"/>
  <c r="K32" i="4"/>
  <c r="L17" i="3"/>
  <c r="L12" i="3"/>
  <c r="L18" i="3"/>
  <c r="L19" i="3"/>
  <c r="L32" i="4"/>
  <c r="H27" i="5"/>
  <c r="I27" i="5"/>
  <c r="J27" i="5"/>
  <c r="K27" i="5"/>
  <c r="L27" i="5"/>
  <c r="C20" i="1"/>
  <c r="C25" i="1"/>
  <c r="C31" i="1"/>
  <c r="C6" i="5"/>
  <c r="C17" i="5"/>
  <c r="C33" i="5"/>
  <c r="C35" i="5"/>
  <c r="D34" i="5"/>
  <c r="G34" i="5"/>
  <c r="C6" i="3"/>
  <c r="D9" i="3"/>
  <c r="E9" i="3"/>
  <c r="F9" i="3"/>
  <c r="G9" i="3"/>
  <c r="C10" i="1"/>
  <c r="C12" i="1"/>
  <c r="C21" i="1"/>
  <c r="C26" i="1"/>
  <c r="C29" i="1"/>
  <c r="C32" i="1"/>
  <c r="C40" i="1"/>
  <c r="C45" i="1"/>
  <c r="B4" i="17"/>
  <c r="N8" i="17"/>
  <c r="B9" i="17"/>
  <c r="C31" i="4"/>
  <c r="C41" i="4"/>
  <c r="C43" i="4"/>
  <c r="B15" i="19"/>
  <c r="C11" i="19"/>
  <c r="B17" i="19"/>
  <c r="E41" i="20" l="1"/>
  <c r="D41" i="20"/>
  <c r="A8" i="4"/>
  <c r="G17" i="4"/>
  <c r="H17" i="4"/>
  <c r="I17" i="4"/>
  <c r="J17" i="4"/>
  <c r="K17" i="4"/>
  <c r="L17" i="4"/>
  <c r="G18" i="4"/>
  <c r="H18" i="4"/>
  <c r="I18" i="4"/>
  <c r="J18" i="4"/>
  <c r="K18" i="4"/>
  <c r="L18" i="4"/>
  <c r="G22" i="4"/>
  <c r="H22" i="4"/>
  <c r="I22" i="4"/>
  <c r="J22" i="4"/>
  <c r="K22" i="4"/>
  <c r="L22" i="4"/>
  <c r="G27" i="4"/>
  <c r="H27" i="4"/>
  <c r="I27" i="4"/>
  <c r="J27" i="4"/>
  <c r="K27" i="4"/>
  <c r="L27" i="4"/>
  <c r="G31" i="4"/>
  <c r="H31" i="4"/>
  <c r="I31" i="4"/>
  <c r="J31" i="4"/>
  <c r="K31" i="4"/>
  <c r="L31" i="4"/>
  <c r="G38" i="4"/>
  <c r="H38" i="4"/>
  <c r="I38" i="4"/>
  <c r="J38" i="4"/>
  <c r="K38" i="4"/>
  <c r="L38" i="4"/>
  <c r="G40" i="4"/>
  <c r="H40" i="4"/>
  <c r="I40" i="4"/>
  <c r="J40" i="4"/>
  <c r="K40" i="4"/>
  <c r="L40" i="4"/>
  <c r="G41" i="4"/>
  <c r="H41" i="4"/>
  <c r="I41" i="4"/>
  <c r="J41" i="4"/>
  <c r="K41" i="4"/>
  <c r="L41" i="4"/>
  <c r="G43" i="4"/>
  <c r="H43" i="4"/>
  <c r="I43" i="4"/>
  <c r="J43" i="4"/>
  <c r="K43" i="4"/>
  <c r="L43" i="4"/>
  <c r="G6" i="5"/>
  <c r="H6" i="5"/>
  <c r="I6" i="5"/>
  <c r="J6" i="5"/>
  <c r="K6" i="5"/>
  <c r="L6" i="5"/>
  <c r="G13" i="5"/>
  <c r="H13" i="5"/>
  <c r="I13" i="5"/>
  <c r="J13" i="5"/>
  <c r="K13" i="5"/>
  <c r="L13" i="5"/>
  <c r="G17" i="5"/>
  <c r="H17" i="5"/>
  <c r="I17" i="5"/>
  <c r="J17" i="5"/>
  <c r="K17" i="5"/>
  <c r="L17" i="5"/>
  <c r="G25" i="5"/>
  <c r="H25" i="5"/>
  <c r="I25" i="5"/>
  <c r="J25" i="5"/>
  <c r="K25" i="5"/>
  <c r="L25" i="5"/>
  <c r="G26" i="5"/>
  <c r="H26" i="5"/>
  <c r="I26" i="5"/>
  <c r="J26" i="5"/>
  <c r="K26" i="5"/>
  <c r="L26" i="5"/>
  <c r="G28" i="5"/>
  <c r="H28" i="5"/>
  <c r="I28" i="5"/>
  <c r="J28" i="5"/>
  <c r="K28" i="5"/>
  <c r="L28" i="5"/>
  <c r="G30" i="5"/>
  <c r="H30" i="5"/>
  <c r="I30" i="5"/>
  <c r="J30" i="5"/>
  <c r="K30" i="5"/>
  <c r="L30" i="5"/>
  <c r="G33" i="5"/>
  <c r="H33" i="5"/>
  <c r="I33" i="5"/>
  <c r="J33" i="5"/>
  <c r="K33" i="5"/>
  <c r="L33" i="5"/>
  <c r="H34" i="5"/>
  <c r="I34" i="5"/>
  <c r="J34" i="5"/>
  <c r="K34" i="5"/>
  <c r="L34" i="5"/>
  <c r="G35" i="5"/>
  <c r="H35" i="5"/>
  <c r="I35" i="5"/>
  <c r="J35" i="5"/>
  <c r="K35" i="5"/>
  <c r="L35" i="5"/>
  <c r="B3" i="14"/>
  <c r="C3" i="14"/>
  <c r="D3" i="14"/>
  <c r="E3" i="14"/>
  <c r="F3" i="14"/>
  <c r="G3" i="14"/>
  <c r="H3" i="14"/>
  <c r="B4" i="14"/>
  <c r="C4" i="14"/>
  <c r="D4" i="14"/>
  <c r="E4" i="14"/>
  <c r="F4" i="14"/>
  <c r="G4" i="14"/>
  <c r="H4" i="14"/>
  <c r="F39" i="20"/>
  <c r="G39" i="20"/>
  <c r="H39" i="20"/>
  <c r="I39" i="20"/>
  <c r="J39" i="20"/>
  <c r="K39" i="20"/>
  <c r="B40" i="20"/>
  <c r="F40" i="20"/>
  <c r="G40" i="20"/>
  <c r="H40" i="20"/>
  <c r="I40" i="20"/>
  <c r="J40" i="20"/>
  <c r="K40" i="20"/>
  <c r="B41" i="20"/>
  <c r="F41" i="20"/>
  <c r="G41" i="20"/>
  <c r="H41" i="20"/>
  <c r="I41" i="20"/>
  <c r="J41" i="20"/>
  <c r="K41" i="20"/>
  <c r="F43" i="20"/>
  <c r="G43" i="20"/>
  <c r="H43" i="20"/>
  <c r="I43" i="20"/>
  <c r="J43" i="20"/>
  <c r="K43" i="20"/>
  <c r="C8" i="7"/>
  <c r="D8" i="7"/>
  <c r="E8" i="7"/>
  <c r="F8" i="7"/>
  <c r="G8" i="7"/>
  <c r="H8" i="7"/>
  <c r="C9" i="7"/>
  <c r="D9" i="7"/>
  <c r="E9" i="7"/>
  <c r="F9" i="7"/>
  <c r="G9" i="7"/>
  <c r="H9" i="7"/>
  <c r="C14" i="7"/>
  <c r="D14" i="7"/>
  <c r="E14" i="7"/>
  <c r="F14" i="7"/>
  <c r="G14" i="7"/>
  <c r="H14" i="7"/>
  <c r="C16" i="7"/>
  <c r="D16" i="7"/>
  <c r="E16" i="7"/>
  <c r="F16" i="7"/>
  <c r="G16" i="7"/>
  <c r="H16" i="7"/>
  <c r="H17" i="7"/>
  <c r="B53" i="7"/>
  <c r="B56" i="7"/>
  <c r="F58" i="7"/>
  <c r="B61" i="7"/>
  <c r="B62" i="7"/>
  <c r="B64" i="7"/>
  <c r="B68" i="7"/>
  <c r="B71" i="7"/>
  <c r="B77" i="7"/>
  <c r="B83" i="7"/>
  <c r="G6" i="3"/>
  <c r="H6" i="3"/>
  <c r="I6" i="3"/>
  <c r="J6" i="3"/>
  <c r="K6" i="3"/>
  <c r="L6" i="3"/>
  <c r="H9" i="3"/>
  <c r="I9" i="3"/>
  <c r="J9" i="3"/>
  <c r="K9" i="3"/>
  <c r="L9" i="3"/>
  <c r="G11" i="3"/>
  <c r="H11" i="3"/>
  <c r="I11" i="3"/>
  <c r="J11" i="3"/>
  <c r="K11" i="3"/>
  <c r="L11" i="3"/>
  <c r="G14" i="3"/>
  <c r="H14" i="3"/>
  <c r="I14" i="3"/>
  <c r="J14" i="3"/>
  <c r="K14" i="3"/>
  <c r="L14" i="3"/>
  <c r="H23" i="3"/>
  <c r="I23" i="3"/>
  <c r="J23" i="3"/>
  <c r="K23" i="3"/>
  <c r="L23" i="3"/>
  <c r="G24" i="3"/>
  <c r="H24" i="3"/>
  <c r="I24" i="3"/>
  <c r="J24" i="3"/>
  <c r="K24" i="3"/>
  <c r="L24" i="3"/>
  <c r="G25" i="3"/>
  <c r="H25" i="3"/>
  <c r="I25" i="3"/>
  <c r="J25" i="3"/>
  <c r="K25" i="3"/>
  <c r="L25" i="3"/>
  <c r="G26" i="3"/>
  <c r="H26" i="3"/>
  <c r="I26" i="3"/>
  <c r="J26" i="3"/>
  <c r="K26" i="3"/>
  <c r="L26" i="3"/>
  <c r="D4" i="13"/>
  <c r="D6" i="13"/>
  <c r="E6" i="13"/>
  <c r="F6" i="13"/>
  <c r="J6" i="13"/>
  <c r="D17" i="13"/>
  <c r="E17" i="13"/>
  <c r="D21" i="13"/>
  <c r="F21" i="13"/>
  <c r="D22" i="13"/>
  <c r="F22" i="13"/>
  <c r="J22" i="13"/>
  <c r="K22" i="13"/>
  <c r="D23" i="13"/>
  <c r="F23" i="13"/>
  <c r="D24" i="13"/>
  <c r="F24" i="13"/>
  <c r="G9" i="1"/>
  <c r="H9" i="1"/>
  <c r="I9" i="1"/>
  <c r="J9" i="1"/>
  <c r="K9" i="1"/>
  <c r="L9" i="1"/>
  <c r="G10" i="1"/>
  <c r="H10" i="1"/>
  <c r="I10" i="1"/>
  <c r="J10" i="1"/>
  <c r="K10" i="1"/>
  <c r="L10" i="1"/>
  <c r="G12" i="1"/>
  <c r="H12" i="1"/>
  <c r="I12" i="1"/>
  <c r="J12" i="1"/>
  <c r="K12" i="1"/>
  <c r="L12" i="1"/>
  <c r="G20" i="1"/>
  <c r="H20" i="1"/>
  <c r="I20" i="1"/>
  <c r="J20" i="1"/>
  <c r="K20" i="1"/>
  <c r="L20" i="1"/>
  <c r="G21" i="1"/>
  <c r="H21" i="1"/>
  <c r="I21" i="1"/>
  <c r="J21" i="1"/>
  <c r="K21" i="1"/>
  <c r="L21" i="1"/>
  <c r="G25" i="1"/>
  <c r="H25" i="1"/>
  <c r="I25" i="1"/>
  <c r="J25" i="1"/>
  <c r="K25" i="1"/>
  <c r="L25" i="1"/>
  <c r="G26" i="1"/>
  <c r="H26" i="1"/>
  <c r="I26" i="1"/>
  <c r="J26" i="1"/>
  <c r="K26" i="1"/>
  <c r="L26" i="1"/>
  <c r="G28" i="1"/>
  <c r="H28" i="1"/>
  <c r="I28" i="1"/>
  <c r="J28" i="1"/>
  <c r="K28" i="1"/>
  <c r="L28" i="1"/>
  <c r="G31" i="1"/>
  <c r="H31" i="1"/>
  <c r="I31" i="1"/>
  <c r="J31" i="1"/>
  <c r="K31" i="1"/>
  <c r="L31" i="1"/>
  <c r="G32" i="1"/>
  <c r="H32" i="1"/>
  <c r="I32" i="1"/>
  <c r="J32" i="1"/>
  <c r="K32" i="1"/>
  <c r="L32" i="1"/>
  <c r="G40" i="1"/>
  <c r="H40" i="1"/>
  <c r="I40" i="1"/>
  <c r="J40" i="1"/>
  <c r="K40" i="1"/>
  <c r="L40" i="1"/>
  <c r="G44" i="1"/>
  <c r="H44" i="1"/>
  <c r="I44" i="1"/>
  <c r="J44" i="1"/>
  <c r="K44" i="1"/>
  <c r="L44" i="1"/>
  <c r="G45" i="1"/>
  <c r="H45" i="1"/>
  <c r="I45" i="1"/>
  <c r="J45" i="1"/>
  <c r="K45" i="1"/>
  <c r="L45" i="1"/>
  <c r="G11" i="19"/>
  <c r="H11" i="19"/>
  <c r="I11" i="19"/>
  <c r="J11" i="19"/>
  <c r="K11" i="19"/>
  <c r="F12" i="19"/>
  <c r="G12" i="19"/>
  <c r="H12" i="19"/>
  <c r="I12" i="19"/>
  <c r="J12" i="19"/>
  <c r="K12" i="19"/>
  <c r="F13" i="19"/>
  <c r="G13" i="19"/>
  <c r="H13" i="19"/>
  <c r="I13" i="19"/>
  <c r="J13" i="19"/>
  <c r="K13" i="19"/>
  <c r="F15" i="19"/>
  <c r="G15" i="19"/>
  <c r="H15" i="19"/>
  <c r="I15" i="19"/>
  <c r="J15" i="19"/>
  <c r="K15" i="19"/>
  <c r="F17" i="19"/>
  <c r="G17" i="19"/>
  <c r="H17" i="19"/>
  <c r="I17" i="19"/>
  <c r="J17" i="19"/>
  <c r="K17" i="19"/>
  <c r="F4" i="17"/>
  <c r="G4" i="17"/>
  <c r="H4" i="17"/>
  <c r="I4" i="17"/>
  <c r="J4" i="17"/>
  <c r="K4" i="17"/>
  <c r="F8" i="17"/>
  <c r="G8" i="17"/>
  <c r="H8" i="17"/>
  <c r="I8" i="17"/>
  <c r="J8" i="17"/>
  <c r="K8" i="17"/>
  <c r="F14" i="17"/>
  <c r="G14" i="17"/>
  <c r="H14" i="17"/>
  <c r="I14" i="17"/>
  <c r="J14" i="17"/>
  <c r="K14" i="17"/>
  <c r="F20" i="17"/>
  <c r="G20" i="17"/>
  <c r="H20" i="17"/>
  <c r="I20" i="17"/>
  <c r="J20" i="17"/>
  <c r="K20" i="17"/>
  <c r="F22" i="17"/>
  <c r="G22" i="17"/>
  <c r="H22" i="17"/>
  <c r="I22" i="17"/>
  <c r="J22" i="17"/>
  <c r="K2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Z26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 xml:space="preserve">Gradually increased to 95% of capex in the perpetuity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5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H5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H5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Assumed full depreciation of assets sold and zero salvage value</t>
        </r>
      </text>
    </comment>
  </commentList>
</comments>
</file>

<file path=xl/sharedStrings.xml><?xml version="1.0" encoding="utf-8"?>
<sst xmlns="http://schemas.openxmlformats.org/spreadsheetml/2006/main" count="320" uniqueCount="280">
  <si>
    <t>(YE 31-Dec, USDm)</t>
  </si>
  <si>
    <t>% growth</t>
  </si>
  <si>
    <t>Cost of Goods Sold</t>
  </si>
  <si>
    <t>Net Sales</t>
  </si>
  <si>
    <t>Gross Profit</t>
  </si>
  <si>
    <t>EBIT</t>
  </si>
  <si>
    <t>% margin</t>
  </si>
  <si>
    <t>Capital Expenditure</t>
  </si>
  <si>
    <t>PPE Schedule</t>
  </si>
  <si>
    <t>Opening Balance</t>
  </si>
  <si>
    <t>(-) Depreciation</t>
  </si>
  <si>
    <t>Closing Balance</t>
  </si>
  <si>
    <t>Interest Expense</t>
  </si>
  <si>
    <t>Debt Schedule</t>
  </si>
  <si>
    <t>EBT</t>
  </si>
  <si>
    <t>Taxes</t>
  </si>
  <si>
    <t>PAT (Carried over to Retained Earnings)</t>
  </si>
  <si>
    <t>Balance Sheet</t>
  </si>
  <si>
    <t>Assets</t>
  </si>
  <si>
    <t>Liabilities</t>
  </si>
  <si>
    <t>Current Assets</t>
  </si>
  <si>
    <t>Accounts Receivables</t>
  </si>
  <si>
    <t>Inventory</t>
  </si>
  <si>
    <t>Current Liabilities</t>
  </si>
  <si>
    <t>Accounts Payables</t>
  </si>
  <si>
    <t>Retained Earnings</t>
  </si>
  <si>
    <t>Long Term Debt</t>
  </si>
  <si>
    <t>Cash</t>
  </si>
  <si>
    <t>Total Assets</t>
  </si>
  <si>
    <t>Total Liabilities</t>
  </si>
  <si>
    <t>Cash Flow Statement</t>
  </si>
  <si>
    <t>Cash Flow from Operating Activities</t>
  </si>
  <si>
    <t>Net Profit</t>
  </si>
  <si>
    <t>Add: Depreciation &amp; Amortisation</t>
  </si>
  <si>
    <t>Changes in working capital</t>
  </si>
  <si>
    <t>Change in Accounts receivables</t>
  </si>
  <si>
    <t>Change in Accounts payables</t>
  </si>
  <si>
    <t>Change in Accounts inventory</t>
  </si>
  <si>
    <t>Cash Flow from Investing Activities</t>
  </si>
  <si>
    <t>Cash Flow from Financing Activities</t>
  </si>
  <si>
    <t>Net Change in cash during the year</t>
  </si>
  <si>
    <t>Add: Opening Cash Flow</t>
  </si>
  <si>
    <t>Closing Cash Flow</t>
  </si>
  <si>
    <t>Gross Sales</t>
  </si>
  <si>
    <t>WACC</t>
  </si>
  <si>
    <t xml:space="preserve">Discounted Cash Flow </t>
  </si>
  <si>
    <t>Capex</t>
  </si>
  <si>
    <t>PGR</t>
  </si>
  <si>
    <t>Equity Value</t>
  </si>
  <si>
    <t>Sensitivity Table</t>
  </si>
  <si>
    <t>Juice Co.</t>
  </si>
  <si>
    <t>Enterprise Value</t>
  </si>
  <si>
    <t>Repayment</t>
  </si>
  <si>
    <t>FCFE</t>
  </si>
  <si>
    <t>FY+1 EBITDA</t>
  </si>
  <si>
    <t>DCF</t>
  </si>
  <si>
    <t>LBO (5 year exit)</t>
  </si>
  <si>
    <t>10-12% WACC, 1.5-2.5% PGR</t>
  </si>
  <si>
    <t>14-16% CoE, 1.5-2.5% PGR</t>
  </si>
  <si>
    <t>5 Year exit, Exit Multiple = 12x, Returns: 20-25%</t>
  </si>
  <si>
    <t>Trading Comps FY+1 EBITDA</t>
  </si>
  <si>
    <t>FY1</t>
  </si>
  <si>
    <t>FY2</t>
  </si>
  <si>
    <t>FY 2021</t>
  </si>
  <si>
    <t>FY 2022</t>
  </si>
  <si>
    <t>FY 2024</t>
  </si>
  <si>
    <t>FY 2026(E)</t>
  </si>
  <si>
    <t>FY 2027E</t>
  </si>
  <si>
    <t>FY 2028 E</t>
  </si>
  <si>
    <t>FY 2029 E</t>
  </si>
  <si>
    <t>FY 2030 E</t>
  </si>
  <si>
    <t>(ALL FIGURES IN MILLION USD)</t>
  </si>
  <si>
    <t>FY 2025 E</t>
  </si>
  <si>
    <t>EPS</t>
  </si>
  <si>
    <t>Fixed Assets (PPE)</t>
  </si>
  <si>
    <t>Prepaid Expenses</t>
  </si>
  <si>
    <t>Asset held for sale</t>
  </si>
  <si>
    <t>Amortization Intangible asset</t>
  </si>
  <si>
    <t>other Assets</t>
  </si>
  <si>
    <t xml:space="preserve">     Other Indefinite-lived Intangible Asset</t>
  </si>
  <si>
    <t>Deferred income tax</t>
  </si>
  <si>
    <t xml:space="preserve">    Other liabilities</t>
  </si>
  <si>
    <t>Short term debt obligation</t>
  </si>
  <si>
    <t>Liabilities held for sale</t>
  </si>
  <si>
    <t>Total Equity</t>
  </si>
  <si>
    <t>Total Liabilities and Equity</t>
  </si>
  <si>
    <t>Change in prepaid expenses</t>
  </si>
  <si>
    <r>
      <t xml:space="preserve">        </t>
    </r>
    <r>
      <rPr>
        <sz val="10"/>
        <color theme="1"/>
        <rFont val="Arial"/>
        <family val="2"/>
      </rPr>
      <t>Other Investing activity net</t>
    </r>
  </si>
  <si>
    <t>Dividend</t>
  </si>
  <si>
    <t xml:space="preserve">       Other Financial activity</t>
  </si>
  <si>
    <t>medical expenses/income</t>
  </si>
  <si>
    <t>Other expense</t>
  </si>
  <si>
    <t>Sale of asset</t>
  </si>
  <si>
    <t>Debt Repayment-Long</t>
  </si>
  <si>
    <t xml:space="preserve"> </t>
  </si>
  <si>
    <t>Short term  investing maturity/purchase</t>
  </si>
  <si>
    <t>fy2023</t>
  </si>
  <si>
    <t>Total Sales (Revenue)</t>
  </si>
  <si>
    <t>(+) Additions (Capex)</t>
  </si>
  <si>
    <t xml:space="preserve"> % of Sales</t>
  </si>
  <si>
    <t xml:space="preserve"> % of opening balance+capex/2</t>
  </si>
  <si>
    <t>Assumptions-</t>
  </si>
  <si>
    <t>(-) /+Sale (adj)</t>
  </si>
  <si>
    <t>COGS</t>
  </si>
  <si>
    <t>Account Receivable</t>
  </si>
  <si>
    <t>Prepaid expenses</t>
  </si>
  <si>
    <t>Other assets</t>
  </si>
  <si>
    <t>Total non cash Asset</t>
  </si>
  <si>
    <t>Days Sale outstanding</t>
  </si>
  <si>
    <t>Days inventory outstanding</t>
  </si>
  <si>
    <t>Other Asset % of sales</t>
  </si>
  <si>
    <t>Prepaid % of sales</t>
  </si>
  <si>
    <t>Days Outstanding</t>
  </si>
  <si>
    <t>Days Outstanding- inv</t>
  </si>
  <si>
    <t>% Sales</t>
  </si>
  <si>
    <t>%0f Sales</t>
  </si>
  <si>
    <t>Days outstanding</t>
  </si>
  <si>
    <t>other Current Assets</t>
  </si>
  <si>
    <t>Total current liability</t>
  </si>
  <si>
    <t>Increase or decrease</t>
  </si>
  <si>
    <t xml:space="preserve"> Working capital</t>
  </si>
  <si>
    <t>Cash available</t>
  </si>
  <si>
    <t>From Operating cashflow</t>
  </si>
  <si>
    <t>From Investing Activity</t>
  </si>
  <si>
    <t>Beginning Cash</t>
  </si>
  <si>
    <t>Minimum Cash</t>
  </si>
  <si>
    <t>Retained Earning</t>
  </si>
  <si>
    <t xml:space="preserve">     Shareholders equity</t>
  </si>
  <si>
    <t>Repurchased common stock, in excess of par value (484 and 487 shares, respectively)</t>
  </si>
  <si>
    <t>Non controlling interest</t>
  </si>
  <si>
    <t>End balance</t>
  </si>
  <si>
    <t>Stock Repurchase</t>
  </si>
  <si>
    <t>Dividend Calculation</t>
  </si>
  <si>
    <t>Outstanding Shares</t>
  </si>
  <si>
    <t>Dividend Paid</t>
  </si>
  <si>
    <t>Dividend payout ratio</t>
  </si>
  <si>
    <t>Depriciation</t>
  </si>
  <si>
    <t>Common stock</t>
  </si>
  <si>
    <t>Total</t>
  </si>
  <si>
    <t>Beginning</t>
  </si>
  <si>
    <t>Dividend Payment</t>
  </si>
  <si>
    <t>Term debt payment</t>
  </si>
  <si>
    <t>Ending</t>
  </si>
  <si>
    <t>Term  Debt</t>
  </si>
  <si>
    <t>Cash left for other repayment</t>
  </si>
  <si>
    <t>Revolver Mechanism(Short term debt)</t>
  </si>
  <si>
    <t>Opening balance</t>
  </si>
  <si>
    <t>Borrowing</t>
  </si>
  <si>
    <t>Proceeds From Revolver borrowing</t>
  </si>
  <si>
    <t>Repayment of borrowing</t>
  </si>
  <si>
    <t>Capital in excess of par value</t>
  </si>
  <si>
    <t xml:space="preserve">Goodwill </t>
  </si>
  <si>
    <t>Common Stock</t>
  </si>
  <si>
    <t>Proceeds of issuance of long term debt</t>
  </si>
  <si>
    <t>Debt redemption</t>
  </si>
  <si>
    <t>FY 2023</t>
  </si>
  <si>
    <t>Income Statement of Pepsi</t>
  </si>
  <si>
    <t>% of Sales</t>
  </si>
  <si>
    <t>SG&amp;A % of  Sales</t>
  </si>
  <si>
    <t>medical expense % of Sales</t>
  </si>
  <si>
    <t>SG&amp;A</t>
  </si>
  <si>
    <t>Tax % of EBT</t>
  </si>
  <si>
    <t>Revolver credit facility</t>
  </si>
  <si>
    <t>Accounts Payable and other Accruals</t>
  </si>
  <si>
    <t>Account payable days</t>
  </si>
  <si>
    <t>add: Currency Adjustment</t>
  </si>
  <si>
    <t>Other Current Asset</t>
  </si>
  <si>
    <t>Investment in non controlled affiliates</t>
  </si>
  <si>
    <t>Deferred Income taxes</t>
  </si>
  <si>
    <t>Accumulated comprehensive loss</t>
  </si>
  <si>
    <t>Beginning balance</t>
  </si>
  <si>
    <t>ADD: Income</t>
  </si>
  <si>
    <t>Less: Dividend</t>
  </si>
  <si>
    <t>Other Investing Activity</t>
  </si>
  <si>
    <t>Closing balance(Revolver Facility)</t>
  </si>
  <si>
    <t>Ebit</t>
  </si>
  <si>
    <t>Ebit(1-t)</t>
  </si>
  <si>
    <t>Add : D&amp;A</t>
  </si>
  <si>
    <t>Less:Capex</t>
  </si>
  <si>
    <t>NWC change</t>
  </si>
  <si>
    <t>FCFF</t>
  </si>
  <si>
    <t>PepsiCo Wacc Calculation</t>
  </si>
  <si>
    <t>1.Cost of equity(ke)-CAPm</t>
  </si>
  <si>
    <t>Value</t>
  </si>
  <si>
    <t>Sources</t>
  </si>
  <si>
    <t>Risk-Free Rate(Rf)</t>
  </si>
  <si>
    <t>US 10 Year Yield</t>
  </si>
  <si>
    <t>Beta (b)</t>
  </si>
  <si>
    <t>Investing.com</t>
  </si>
  <si>
    <t>Cost of Equity (Ke)</t>
  </si>
  <si>
    <t>Standard Market Assumptions</t>
  </si>
  <si>
    <t>Interest Calculation</t>
  </si>
  <si>
    <t>% of Term debt</t>
  </si>
  <si>
    <t>Interest on debt</t>
  </si>
  <si>
    <t>Other  B/s reconciliation plug</t>
  </si>
  <si>
    <t>Other non-current liability(pension)</t>
  </si>
  <si>
    <t>2.Cost of debt (Kd)</t>
  </si>
  <si>
    <t>Source</t>
  </si>
  <si>
    <t>(Historical debt cost for pepsi)</t>
  </si>
  <si>
    <t>Marginal-tax rate</t>
  </si>
  <si>
    <t>(Based on historical data)</t>
  </si>
  <si>
    <t>After Tax Cost of debt</t>
  </si>
  <si>
    <t>Formula=B31*(1-B32)</t>
  </si>
  <si>
    <t>3.Capital Structure(Weights)</t>
  </si>
  <si>
    <t>Share Price(P)</t>
  </si>
  <si>
    <t>$148.00</t>
  </si>
  <si>
    <t>Current Price</t>
  </si>
  <si>
    <t>Shares outstanding</t>
  </si>
  <si>
    <t>Q4 2024</t>
  </si>
  <si>
    <t>Market Value of Equity</t>
  </si>
  <si>
    <t>1372 M</t>
  </si>
  <si>
    <t>$203056 M</t>
  </si>
  <si>
    <t>Total Debt(D)</t>
  </si>
  <si>
    <t>$51400 M</t>
  </si>
  <si>
    <t>Total Capital</t>
  </si>
  <si>
    <t xml:space="preserve"> $254456 M</t>
  </si>
  <si>
    <t>E+D</t>
  </si>
  <si>
    <t>Weight Of Equity (We)</t>
  </si>
  <si>
    <t>Weight Of Debt (Wd)</t>
  </si>
  <si>
    <t>Final Wacc</t>
  </si>
  <si>
    <t>Terminal Value</t>
  </si>
  <si>
    <t xml:space="preserve"> Input &amp; Assumptions</t>
  </si>
  <si>
    <t>Final Forecast Year  FCF</t>
  </si>
  <si>
    <t>FCF 2030 E</t>
  </si>
  <si>
    <t>WACC®</t>
  </si>
  <si>
    <t>Terminal Growth Rate(g)</t>
  </si>
  <si>
    <t>Assumption =US GDP</t>
  </si>
  <si>
    <t>Final Year EBITDA</t>
  </si>
  <si>
    <t>Exit Multiple</t>
  </si>
  <si>
    <t>14.5x</t>
  </si>
  <si>
    <t>Assumption</t>
  </si>
  <si>
    <t>Method 1:Perpetuity Growth</t>
  </si>
  <si>
    <t>NPV of  Explicit Period</t>
  </si>
  <si>
    <t>NPV of  Terminal Period</t>
  </si>
  <si>
    <t>Sum Of Pv 2025-2030</t>
  </si>
  <si>
    <t>Value beyond 2030</t>
  </si>
  <si>
    <t>Enterprise value</t>
  </si>
  <si>
    <t>Total company value</t>
  </si>
  <si>
    <t>ADD: Cash</t>
  </si>
  <si>
    <t>Less :Debt</t>
  </si>
  <si>
    <t>Value for Shareholders</t>
  </si>
  <si>
    <t>Shares Outstanding</t>
  </si>
  <si>
    <t>Intrisic Value/Share</t>
  </si>
  <si>
    <t>From 10-k</t>
  </si>
  <si>
    <t>Method 2:Exit Multiple</t>
  </si>
  <si>
    <t>Ebitda</t>
  </si>
  <si>
    <t>Exit multiple</t>
  </si>
  <si>
    <t>Input</t>
  </si>
  <si>
    <t>PV of terminal Value</t>
  </si>
  <si>
    <t>Intrisic Value</t>
  </si>
  <si>
    <t>PV of Explicit Period</t>
  </si>
  <si>
    <t>Add:Cash</t>
  </si>
  <si>
    <t>less:debt</t>
  </si>
  <si>
    <t>Income Statement</t>
  </si>
  <si>
    <t>Assumptions</t>
  </si>
  <si>
    <t>Ebitda*Exit</t>
  </si>
  <si>
    <t>Shares</t>
  </si>
  <si>
    <t>10-K</t>
  </si>
  <si>
    <t>Rf+(b*Rm)</t>
  </si>
  <si>
    <t>Market Risk Premium (Rm)</t>
  </si>
  <si>
    <t>Pre-tax Cost of debt</t>
  </si>
  <si>
    <t>FY2021</t>
  </si>
  <si>
    <t>FY2022</t>
  </si>
  <si>
    <t>FY2023</t>
  </si>
  <si>
    <t>FY2024</t>
  </si>
  <si>
    <t>EBITDA</t>
  </si>
  <si>
    <t>Net Debt</t>
  </si>
  <si>
    <t>Leverage Ratio</t>
  </si>
  <si>
    <t>Football Field Metrics</t>
  </si>
  <si>
    <t>Methodology</t>
  </si>
  <si>
    <t>MIN Value ($)</t>
  </si>
  <si>
    <t>Max Value ($)</t>
  </si>
  <si>
    <t>52 Week Trading Range</t>
  </si>
  <si>
    <t>Comps (Pe Ratio)</t>
  </si>
  <si>
    <t>DCF (Bear Case)</t>
  </si>
  <si>
    <t>DCF (Base Case)</t>
  </si>
  <si>
    <t>DCF (Bull Case)</t>
  </si>
  <si>
    <t>Current share Price</t>
  </si>
  <si>
    <t>Space</t>
  </si>
  <si>
    <t>Bar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</si>
</sst>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#,##0;\(#,##0\);\-\-"/>
    <numFmt numFmtId="165" formatCode="0&quot;A&quot;"/>
    <numFmt numFmtId="166" formatCode="0&quot;E&quot;"/>
    <numFmt numFmtId="167" formatCode="#,##0.0;\(#,##0.0\);\-\-"/>
    <numFmt numFmtId="168" formatCode="#,##0.0"/>
    <numFmt numFmtId="169" formatCode="0&quot; days&quot;"/>
    <numFmt numFmtId="170" formatCode="0.0%"/>
    <numFmt numFmtId="171" formatCode="0.0"/>
    <numFmt numFmtId="172" formatCode="0.0\x"/>
    <numFmt numFmtId="173" formatCode="[$$-C09]#,##0.000;\-[$$-C09]#,##0.000"/>
    <numFmt numFmtId="174" formatCode="[$$-C09]#,##0.00"/>
    <numFmt numFmtId="175" formatCode="[$$-C09]#,##0.00;[Red]\-[$$-C09]#,##0.00"/>
    <numFmt numFmtId="176" formatCode="[$$-C09]#,##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theme="3" tint="-0.499984740745262"/>
      <name val="Arial"/>
      <family val="2"/>
    </font>
    <font>
      <b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Arial"/>
      <family val="2"/>
    </font>
    <font>
      <sz val="10"/>
      <color theme="3" tint="0.39997558519241921"/>
      <name val="Arial"/>
      <family val="2"/>
    </font>
    <font>
      <sz val="10"/>
      <color theme="4" tint="-0.249977111117893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dashed">
        <color theme="0" tint="-0.14996795556505021"/>
      </right>
      <top/>
      <bottom/>
      <diagonal/>
    </border>
    <border>
      <left style="thin">
        <color theme="0"/>
      </left>
      <right style="dashed">
        <color theme="0" tint="-0.14996795556505021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dashed">
        <color theme="0" tint="-0.14996795556505021"/>
      </right>
      <top/>
      <bottom style="thin">
        <color auto="1"/>
      </bottom>
      <diagonal/>
    </border>
    <border>
      <left/>
      <right style="dashed">
        <color theme="0" tint="-0.14996795556505021"/>
      </right>
      <top style="thin">
        <color auto="1"/>
      </top>
      <bottom style="double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287">
    <xf numFmtId="0" fontId="0" fillId="0" borderId="0" xfId="0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164" fontId="9" fillId="0" borderId="0" xfId="0" applyNumberFormat="1" applyFont="1"/>
    <xf numFmtId="167" fontId="8" fillId="0" borderId="0" xfId="0" applyNumberFormat="1" applyFont="1"/>
    <xf numFmtId="167" fontId="9" fillId="0" borderId="0" xfId="0" applyNumberFormat="1" applyFont="1"/>
    <xf numFmtId="9" fontId="9" fillId="0" borderId="0" xfId="0" applyNumberFormat="1" applyFont="1"/>
    <xf numFmtId="9" fontId="9" fillId="4" borderId="0" xfId="0" applyNumberFormat="1" applyFont="1" applyFill="1"/>
    <xf numFmtId="9" fontId="8" fillId="0" borderId="0" xfId="0" applyNumberFormat="1" applyFont="1"/>
    <xf numFmtId="164" fontId="8" fillId="0" borderId="0" xfId="0" applyNumberFormat="1" applyFont="1" applyAlignment="1">
      <alignment horizontal="left" indent="1"/>
    </xf>
    <xf numFmtId="164" fontId="9" fillId="0" borderId="0" xfId="0" applyNumberFormat="1" applyFont="1" applyAlignment="1">
      <alignment horizontal="left" indent="1"/>
    </xf>
    <xf numFmtId="164" fontId="8" fillId="0" borderId="0" xfId="0" applyNumberFormat="1" applyFont="1" applyAlignment="1">
      <alignment horizontal="left" indent="2"/>
    </xf>
    <xf numFmtId="164" fontId="9" fillId="0" borderId="0" xfId="0" applyNumberFormat="1" applyFont="1" applyAlignment="1">
      <alignment horizontal="left" indent="2"/>
    </xf>
    <xf numFmtId="164" fontId="10" fillId="0" borderId="0" xfId="0" applyNumberFormat="1" applyFont="1" applyAlignment="1">
      <alignment horizontal="left" indent="1"/>
    </xf>
    <xf numFmtId="164" fontId="10" fillId="0" borderId="0" xfId="0" applyNumberFormat="1" applyFont="1"/>
    <xf numFmtId="167" fontId="10" fillId="0" borderId="0" xfId="0" applyNumberFormat="1" applyFont="1"/>
    <xf numFmtId="164" fontId="8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0" fillId="5" borderId="0" xfId="0" applyNumberFormat="1" applyFont="1" applyFill="1"/>
    <xf numFmtId="164" fontId="10" fillId="0" borderId="2" xfId="0" applyNumberFormat="1" applyFont="1" applyBorder="1" applyAlignment="1">
      <alignment horizontal="left"/>
    </xf>
    <xf numFmtId="167" fontId="8" fillId="0" borderId="3" xfId="0" applyNumberFormat="1" applyFont="1" applyBorder="1"/>
    <xf numFmtId="164" fontId="8" fillId="0" borderId="4" xfId="0" applyNumberFormat="1" applyFont="1" applyBorder="1" applyAlignment="1">
      <alignment horizontal="left"/>
    </xf>
    <xf numFmtId="167" fontId="8" fillId="0" borderId="5" xfId="0" applyNumberFormat="1" applyFont="1" applyBorder="1"/>
    <xf numFmtId="164" fontId="8" fillId="0" borderId="4" xfId="0" applyNumberFormat="1" applyFont="1" applyBorder="1" applyAlignment="1">
      <alignment horizontal="left" indent="2"/>
    </xf>
    <xf numFmtId="164" fontId="11" fillId="0" borderId="0" xfId="0" applyNumberFormat="1" applyFont="1"/>
    <xf numFmtId="167" fontId="11" fillId="0" borderId="0" xfId="0" applyNumberFormat="1" applyFont="1"/>
    <xf numFmtId="165" fontId="8" fillId="0" borderId="13" xfId="0" applyNumberFormat="1" applyFont="1" applyBorder="1"/>
    <xf numFmtId="167" fontId="8" fillId="0" borderId="13" xfId="0" applyNumberFormat="1" applyFont="1" applyBorder="1"/>
    <xf numFmtId="164" fontId="10" fillId="0" borderId="8" xfId="0" applyNumberFormat="1" applyFont="1" applyBorder="1"/>
    <xf numFmtId="167" fontId="8" fillId="0" borderId="8" xfId="0" applyNumberFormat="1" applyFont="1" applyBorder="1"/>
    <xf numFmtId="167" fontId="8" fillId="0" borderId="18" xfId="0" applyNumberFormat="1" applyFont="1" applyBorder="1"/>
    <xf numFmtId="0" fontId="4" fillId="0" borderId="0" xfId="0" applyFont="1"/>
    <xf numFmtId="170" fontId="8" fillId="0" borderId="0" xfId="0" applyNumberFormat="1" applyFont="1"/>
    <xf numFmtId="0" fontId="4" fillId="4" borderId="10" xfId="0" applyFont="1" applyFill="1" applyBorder="1"/>
    <xf numFmtId="0" fontId="4" fillId="4" borderId="0" xfId="0" applyFont="1" applyFill="1"/>
    <xf numFmtId="1" fontId="4" fillId="4" borderId="0" xfId="0" applyNumberFormat="1" applyFont="1" applyFill="1"/>
    <xf numFmtId="171" fontId="4" fillId="4" borderId="0" xfId="0" applyNumberFormat="1" applyFont="1" applyFill="1"/>
    <xf numFmtId="0" fontId="3" fillId="4" borderId="2" xfId="0" applyFont="1" applyFill="1" applyBorder="1"/>
    <xf numFmtId="172" fontId="3" fillId="4" borderId="3" xfId="0" applyNumberFormat="1" applyFont="1" applyFill="1" applyBorder="1"/>
    <xf numFmtId="0" fontId="3" fillId="4" borderId="6" xfId="0" applyFont="1" applyFill="1" applyBorder="1"/>
    <xf numFmtId="172" fontId="3" fillId="4" borderId="7" xfId="0" applyNumberFormat="1" applyFont="1" applyFill="1" applyBorder="1"/>
    <xf numFmtId="9" fontId="4" fillId="4" borderId="5" xfId="0" applyNumberFormat="1" applyFont="1" applyFill="1" applyBorder="1"/>
    <xf numFmtId="9" fontId="4" fillId="0" borderId="0" xfId="0" applyNumberFormat="1" applyFont="1"/>
    <xf numFmtId="0" fontId="3" fillId="4" borderId="18" xfId="0" applyFont="1" applyFill="1" applyBorder="1"/>
    <xf numFmtId="1" fontId="3" fillId="4" borderId="18" xfId="0" applyNumberFormat="1" applyFont="1" applyFill="1" applyBorder="1"/>
    <xf numFmtId="0" fontId="3" fillId="4" borderId="4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167" fontId="8" fillId="0" borderId="7" xfId="0" applyNumberFormat="1" applyFont="1" applyBorder="1"/>
    <xf numFmtId="167" fontId="8" fillId="0" borderId="2" xfId="0" applyNumberFormat="1" applyFont="1" applyBorder="1"/>
    <xf numFmtId="167" fontId="8" fillId="0" borderId="4" xfId="0" applyNumberFormat="1" applyFont="1" applyBorder="1"/>
    <xf numFmtId="167" fontId="8" fillId="0" borderId="6" xfId="0" applyNumberFormat="1" applyFont="1" applyBorder="1"/>
    <xf numFmtId="167" fontId="8" fillId="0" borderId="10" xfId="0" applyNumberFormat="1" applyFont="1" applyBorder="1"/>
    <xf numFmtId="0" fontId="12" fillId="4" borderId="0" xfId="0" applyFont="1" applyFill="1"/>
    <xf numFmtId="0" fontId="5" fillId="4" borderId="10" xfId="0" applyFont="1" applyFill="1" applyBorder="1"/>
    <xf numFmtId="4" fontId="4" fillId="4" borderId="0" xfId="0" applyNumberFormat="1" applyFont="1" applyFill="1"/>
    <xf numFmtId="172" fontId="8" fillId="0" borderId="0" xfId="0" applyNumberFormat="1" applyFont="1"/>
    <xf numFmtId="168" fontId="8" fillId="0" borderId="0" xfId="0" applyNumberFormat="1" applyFont="1"/>
    <xf numFmtId="0" fontId="8" fillId="0" borderId="0" xfId="0" applyFont="1" applyAlignment="1">
      <alignment horizontal="left"/>
    </xf>
    <xf numFmtId="170" fontId="8" fillId="0" borderId="0" xfId="1" applyNumberFormat="1" applyFont="1"/>
    <xf numFmtId="10" fontId="8" fillId="0" borderId="0" xfId="1" applyNumberFormat="1" applyFont="1"/>
    <xf numFmtId="0" fontId="17" fillId="0" borderId="0" xfId="0" applyFont="1"/>
    <xf numFmtId="164" fontId="8" fillId="7" borderId="0" xfId="0" applyNumberFormat="1" applyFont="1" applyFill="1"/>
    <xf numFmtId="10" fontId="10" fillId="0" borderId="0" xfId="0" applyNumberFormat="1" applyFont="1"/>
    <xf numFmtId="164" fontId="8" fillId="8" borderId="0" xfId="0" applyNumberFormat="1" applyFont="1" applyFill="1"/>
    <xf numFmtId="165" fontId="14" fillId="8" borderId="12" xfId="0" applyNumberFormat="1" applyFont="1" applyFill="1" applyBorder="1"/>
    <xf numFmtId="166" fontId="14" fillId="8" borderId="15" xfId="0" applyNumberFormat="1" applyFont="1" applyFill="1" applyBorder="1"/>
    <xf numFmtId="166" fontId="14" fillId="8" borderId="12" xfId="0" applyNumberFormat="1" applyFont="1" applyFill="1" applyBorder="1"/>
    <xf numFmtId="164" fontId="14" fillId="8" borderId="0" xfId="0" applyNumberFormat="1" applyFont="1" applyFill="1"/>
    <xf numFmtId="165" fontId="14" fillId="8" borderId="0" xfId="0" applyNumberFormat="1" applyFont="1" applyFill="1"/>
    <xf numFmtId="164" fontId="14" fillId="9" borderId="0" xfId="0" applyNumberFormat="1" applyFont="1" applyFill="1"/>
    <xf numFmtId="164" fontId="8" fillId="9" borderId="0" xfId="0" applyNumberFormat="1" applyFont="1" applyFill="1"/>
    <xf numFmtId="164" fontId="13" fillId="9" borderId="12" xfId="0" applyNumberFormat="1" applyFont="1" applyFill="1" applyBorder="1"/>
    <xf numFmtId="166" fontId="14" fillId="9" borderId="15" xfId="0" applyNumberFormat="1" applyFont="1" applyFill="1" applyBorder="1"/>
    <xf numFmtId="166" fontId="14" fillId="9" borderId="12" xfId="0" applyNumberFormat="1" applyFont="1" applyFill="1" applyBorder="1"/>
    <xf numFmtId="164" fontId="19" fillId="0" borderId="0" xfId="0" applyNumberFormat="1" applyFont="1" applyAlignment="1">
      <alignment horizontal="left" indent="2"/>
    </xf>
    <xf numFmtId="2" fontId="9" fillId="0" borderId="0" xfId="0" applyNumberFormat="1" applyFont="1"/>
    <xf numFmtId="165" fontId="14" fillId="9" borderId="0" xfId="0" applyNumberFormat="1" applyFont="1" applyFill="1"/>
    <xf numFmtId="10" fontId="8" fillId="0" borderId="0" xfId="0" applyNumberFormat="1" applyFont="1"/>
    <xf numFmtId="165" fontId="13" fillId="8" borderId="12" xfId="0" applyNumberFormat="1" applyFont="1" applyFill="1" applyBorder="1"/>
    <xf numFmtId="164" fontId="15" fillId="8" borderId="0" xfId="0" applyNumberFormat="1" applyFont="1" applyFill="1"/>
    <xf numFmtId="164" fontId="8" fillId="10" borderId="0" xfId="0" applyNumberFormat="1" applyFont="1" applyFill="1"/>
    <xf numFmtId="167" fontId="8" fillId="10" borderId="0" xfId="0" applyNumberFormat="1" applyFont="1" applyFill="1"/>
    <xf numFmtId="164" fontId="10" fillId="10" borderId="0" xfId="0" applyNumberFormat="1" applyFont="1" applyFill="1"/>
    <xf numFmtId="164" fontId="20" fillId="10" borderId="0" xfId="0" applyNumberFormat="1" applyFont="1" applyFill="1"/>
    <xf numFmtId="164" fontId="8" fillId="4" borderId="0" xfId="0" applyNumberFormat="1" applyFont="1" applyFill="1"/>
    <xf numFmtId="165" fontId="8" fillId="4" borderId="11" xfId="0" applyNumberFormat="1" applyFont="1" applyFill="1" applyBorder="1"/>
    <xf numFmtId="167" fontId="8" fillId="4" borderId="11" xfId="0" applyNumberFormat="1" applyFont="1" applyFill="1" applyBorder="1"/>
    <xf numFmtId="9" fontId="9" fillId="4" borderId="11" xfId="0" applyNumberFormat="1" applyFont="1" applyFill="1" applyBorder="1"/>
    <xf numFmtId="167" fontId="8" fillId="4" borderId="0" xfId="0" applyNumberFormat="1" applyFont="1" applyFill="1"/>
    <xf numFmtId="167" fontId="8" fillId="4" borderId="8" xfId="0" applyNumberFormat="1" applyFont="1" applyFill="1" applyBorder="1"/>
    <xf numFmtId="165" fontId="14" fillId="4" borderId="15" xfId="0" applyNumberFormat="1" applyFont="1" applyFill="1" applyBorder="1"/>
    <xf numFmtId="169" fontId="8" fillId="4" borderId="0" xfId="0" applyNumberFormat="1" applyFont="1" applyFill="1"/>
    <xf numFmtId="169" fontId="8" fillId="4" borderId="10" xfId="0" applyNumberFormat="1" applyFont="1" applyFill="1" applyBorder="1"/>
    <xf numFmtId="164" fontId="13" fillId="10" borderId="12" xfId="0" applyNumberFormat="1" applyFont="1" applyFill="1" applyBorder="1"/>
    <xf numFmtId="165" fontId="14" fillId="10" borderId="11" xfId="0" applyNumberFormat="1" applyFont="1" applyFill="1" applyBorder="1"/>
    <xf numFmtId="166" fontId="14" fillId="10" borderId="12" xfId="0" applyNumberFormat="1" applyFont="1" applyFill="1" applyBorder="1"/>
    <xf numFmtId="0" fontId="0" fillId="10" borderId="0" xfId="0" applyFill="1"/>
    <xf numFmtId="0" fontId="0" fillId="4" borderId="0" xfId="0" applyFill="1"/>
    <xf numFmtId="0" fontId="0" fillId="11" borderId="0" xfId="0" applyFill="1"/>
    <xf numFmtId="0" fontId="0" fillId="12" borderId="0" xfId="0" applyFill="1"/>
    <xf numFmtId="0" fontId="17" fillId="10" borderId="0" xfId="0" applyFont="1" applyFill="1"/>
    <xf numFmtId="0" fontId="17" fillId="4" borderId="0" xfId="0" applyFont="1" applyFill="1"/>
    <xf numFmtId="0" fontId="17" fillId="12" borderId="0" xfId="0" applyFont="1" applyFill="1"/>
    <xf numFmtId="10" fontId="0" fillId="4" borderId="0" xfId="0" applyNumberFormat="1" applyFill="1"/>
    <xf numFmtId="0" fontId="17" fillId="12" borderId="0" xfId="0" applyFont="1" applyFill="1" applyAlignment="1">
      <alignment wrapText="1"/>
    </xf>
    <xf numFmtId="10" fontId="0" fillId="0" borderId="0" xfId="0" applyNumberFormat="1"/>
    <xf numFmtId="0" fontId="22" fillId="0" borderId="0" xfId="0" applyFont="1"/>
    <xf numFmtId="10" fontId="22" fillId="0" borderId="0" xfId="0" applyNumberFormat="1" applyFont="1"/>
    <xf numFmtId="1" fontId="0" fillId="11" borderId="0" xfId="0" applyNumberFormat="1" applyFill="1"/>
    <xf numFmtId="1" fontId="0" fillId="4" borderId="0" xfId="0" applyNumberFormat="1" applyFill="1"/>
    <xf numFmtId="1" fontId="0" fillId="0" borderId="0" xfId="0" applyNumberFormat="1"/>
    <xf numFmtId="1" fontId="22" fillId="0" borderId="0" xfId="0" applyNumberFormat="1" applyFont="1"/>
    <xf numFmtId="1" fontId="17" fillId="0" borderId="0" xfId="0" applyNumberFormat="1" applyFont="1"/>
    <xf numFmtId="10" fontId="17" fillId="12" borderId="0" xfId="0" applyNumberFormat="1" applyFont="1" applyFill="1"/>
    <xf numFmtId="0" fontId="0" fillId="13" borderId="0" xfId="0" applyFill="1"/>
    <xf numFmtId="10" fontId="0" fillId="13" borderId="0" xfId="0" applyNumberFormat="1" applyFill="1"/>
    <xf numFmtId="0" fontId="17" fillId="13" borderId="0" xfId="0" applyFont="1" applyFill="1"/>
    <xf numFmtId="165" fontId="19" fillId="10" borderId="12" xfId="0" applyNumberFormat="1" applyFont="1" applyFill="1" applyBorder="1"/>
    <xf numFmtId="164" fontId="9" fillId="4" borderId="0" xfId="0" applyNumberFormat="1" applyFont="1" applyFill="1"/>
    <xf numFmtId="164" fontId="9" fillId="4" borderId="4" xfId="0" applyNumberFormat="1" applyFont="1" applyFill="1" applyBorder="1" applyAlignment="1">
      <alignment horizontal="left" indent="2"/>
    </xf>
    <xf numFmtId="167" fontId="9" fillId="4" borderId="0" xfId="0" applyNumberFormat="1" applyFont="1" applyFill="1"/>
    <xf numFmtId="164" fontId="8" fillId="4" borderId="6" xfId="0" applyNumberFormat="1" applyFont="1" applyFill="1" applyBorder="1" applyAlignment="1">
      <alignment horizontal="left"/>
    </xf>
    <xf numFmtId="164" fontId="8" fillId="4" borderId="0" xfId="0" applyNumberFormat="1" applyFont="1" applyFill="1" applyAlignment="1">
      <alignment horizontal="left" indent="2"/>
    </xf>
    <xf numFmtId="164" fontId="9" fillId="4" borderId="0" xfId="0" applyNumberFormat="1" applyFont="1" applyFill="1" applyAlignment="1">
      <alignment horizontal="left" indent="2"/>
    </xf>
    <xf numFmtId="164" fontId="14" fillId="4" borderId="2" xfId="0" applyNumberFormat="1" applyFont="1" applyFill="1" applyBorder="1" applyAlignment="1">
      <alignment horizontal="left"/>
    </xf>
    <xf numFmtId="167" fontId="8" fillId="4" borderId="3" xfId="0" applyNumberFormat="1" applyFont="1" applyFill="1" applyBorder="1"/>
    <xf numFmtId="164" fontId="8" fillId="4" borderId="4" xfId="0" applyNumberFormat="1" applyFont="1" applyFill="1" applyBorder="1" applyAlignment="1">
      <alignment horizontal="left" indent="2"/>
    </xf>
    <xf numFmtId="167" fontId="8" fillId="4" borderId="5" xfId="0" applyNumberFormat="1" applyFont="1" applyFill="1" applyBorder="1"/>
    <xf numFmtId="165" fontId="14" fillId="4" borderId="12" xfId="0" applyNumberFormat="1" applyFont="1" applyFill="1" applyBorder="1"/>
    <xf numFmtId="166" fontId="14" fillId="4" borderId="15" xfId="0" applyNumberFormat="1" applyFont="1" applyFill="1" applyBorder="1"/>
    <xf numFmtId="166" fontId="14" fillId="4" borderId="12" xfId="0" applyNumberFormat="1" applyFont="1" applyFill="1" applyBorder="1"/>
    <xf numFmtId="164" fontId="8" fillId="4" borderId="4" xfId="0" applyNumberFormat="1" applyFont="1" applyFill="1" applyBorder="1" applyAlignment="1">
      <alignment horizontal="left"/>
    </xf>
    <xf numFmtId="169" fontId="8" fillId="4" borderId="13" xfId="0" applyNumberFormat="1" applyFont="1" applyFill="1" applyBorder="1"/>
    <xf numFmtId="169" fontId="8" fillId="4" borderId="5" xfId="0" applyNumberFormat="1" applyFont="1" applyFill="1" applyBorder="1"/>
    <xf numFmtId="169" fontId="8" fillId="4" borderId="16" xfId="0" applyNumberFormat="1" applyFont="1" applyFill="1" applyBorder="1"/>
    <xf numFmtId="169" fontId="8" fillId="4" borderId="7" xfId="0" applyNumberFormat="1" applyFont="1" applyFill="1" applyBorder="1"/>
    <xf numFmtId="10" fontId="9" fillId="0" borderId="0" xfId="0" applyNumberFormat="1" applyFont="1"/>
    <xf numFmtId="10" fontId="9" fillId="3" borderId="0" xfId="0" applyNumberFormat="1" applyFont="1" applyFill="1"/>
    <xf numFmtId="164" fontId="10" fillId="4" borderId="1" xfId="0" applyNumberFormat="1" applyFont="1" applyFill="1" applyBorder="1" applyAlignment="1">
      <alignment horizontal="left"/>
    </xf>
    <xf numFmtId="167" fontId="10" fillId="4" borderId="1" xfId="0" applyNumberFormat="1" applyFont="1" applyFill="1" applyBorder="1"/>
    <xf numFmtId="164" fontId="9" fillId="14" borderId="0" xfId="0" applyNumberFormat="1" applyFont="1" applyFill="1"/>
    <xf numFmtId="164" fontId="10" fillId="14" borderId="18" xfId="0" applyNumberFormat="1" applyFont="1" applyFill="1" applyBorder="1"/>
    <xf numFmtId="167" fontId="9" fillId="14" borderId="0" xfId="0" applyNumberFormat="1" applyFont="1" applyFill="1"/>
    <xf numFmtId="164" fontId="8" fillId="14" borderId="0" xfId="0" applyNumberFormat="1" applyFont="1" applyFill="1"/>
    <xf numFmtId="167" fontId="8" fillId="14" borderId="0" xfId="0" applyNumberFormat="1" applyFont="1" applyFill="1"/>
    <xf numFmtId="10" fontId="8" fillId="4" borderId="0" xfId="0" applyNumberFormat="1" applyFont="1" applyFill="1"/>
    <xf numFmtId="164" fontId="8" fillId="0" borderId="13" xfId="0" applyNumberFormat="1" applyFont="1" applyBorder="1"/>
    <xf numFmtId="164" fontId="10" fillId="14" borderId="0" xfId="0" applyNumberFormat="1" applyFont="1" applyFill="1" applyAlignment="1">
      <alignment horizontal="left" indent="2"/>
    </xf>
    <xf numFmtId="164" fontId="8" fillId="14" borderId="1" xfId="0" applyNumberFormat="1" applyFont="1" applyFill="1" applyBorder="1" applyAlignment="1">
      <alignment horizontal="left"/>
    </xf>
    <xf numFmtId="167" fontId="10" fillId="14" borderId="1" xfId="0" applyNumberFormat="1" applyFont="1" applyFill="1" applyBorder="1"/>
    <xf numFmtId="164" fontId="10" fillId="14" borderId="1" xfId="0" applyNumberFormat="1" applyFont="1" applyFill="1" applyBorder="1" applyAlignment="1">
      <alignment horizontal="left"/>
    </xf>
    <xf numFmtId="164" fontId="10" fillId="10" borderId="0" xfId="0" applyNumberFormat="1" applyFont="1" applyFill="1" applyAlignment="1">
      <alignment horizontal="left" indent="2"/>
    </xf>
    <xf numFmtId="167" fontId="10" fillId="10" borderId="0" xfId="0" applyNumberFormat="1" applyFont="1" applyFill="1"/>
    <xf numFmtId="164" fontId="8" fillId="4" borderId="0" xfId="0" applyNumberFormat="1" applyFont="1" applyFill="1" applyAlignment="1">
      <alignment horizontal="left" indent="1"/>
    </xf>
    <xf numFmtId="10" fontId="18" fillId="4" borderId="0" xfId="0" applyNumberFormat="1" applyFont="1" applyFill="1"/>
    <xf numFmtId="164" fontId="9" fillId="4" borderId="0" xfId="0" applyNumberFormat="1" applyFont="1" applyFill="1" applyAlignment="1">
      <alignment horizontal="left" indent="1"/>
    </xf>
    <xf numFmtId="164" fontId="8" fillId="14" borderId="0" xfId="0" applyNumberFormat="1" applyFont="1" applyFill="1" applyAlignment="1">
      <alignment horizontal="left" indent="1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 indent="1"/>
    </xf>
    <xf numFmtId="164" fontId="8" fillId="14" borderId="0" xfId="0" applyNumberFormat="1" applyFont="1" applyFill="1" applyAlignment="1">
      <alignment horizontal="left"/>
    </xf>
    <xf numFmtId="9" fontId="9" fillId="14" borderId="0" xfId="0" applyNumberFormat="1" applyFont="1" applyFill="1"/>
    <xf numFmtId="164" fontId="10" fillId="14" borderId="0" xfId="0" applyNumberFormat="1" applyFont="1" applyFill="1"/>
    <xf numFmtId="167" fontId="8" fillId="14" borderId="11" xfId="0" applyNumberFormat="1" applyFont="1" applyFill="1" applyBorder="1"/>
    <xf numFmtId="164" fontId="8" fillId="0" borderId="0" xfId="0" applyNumberFormat="1" applyFont="1" applyAlignment="1">
      <alignment wrapText="1"/>
    </xf>
    <xf numFmtId="164" fontId="10" fillId="4" borderId="0" xfId="0" applyNumberFormat="1" applyFont="1" applyFill="1"/>
    <xf numFmtId="2" fontId="8" fillId="0" borderId="0" xfId="0" applyNumberFormat="1" applyFont="1"/>
    <xf numFmtId="164" fontId="8" fillId="4" borderId="1" xfId="0" applyNumberFormat="1" applyFont="1" applyFill="1" applyBorder="1"/>
    <xf numFmtId="167" fontId="8" fillId="4" borderId="1" xfId="0" applyNumberFormat="1" applyFont="1" applyFill="1" applyBorder="1"/>
    <xf numFmtId="164" fontId="8" fillId="2" borderId="9" xfId="0" applyNumberFormat="1" applyFont="1" applyFill="1" applyBorder="1"/>
    <xf numFmtId="10" fontId="24" fillId="4" borderId="0" xfId="0" applyNumberFormat="1" applyFont="1" applyFill="1"/>
    <xf numFmtId="164" fontId="19" fillId="14" borderId="0" xfId="0" applyNumberFormat="1" applyFont="1" applyFill="1"/>
    <xf numFmtId="9" fontId="8" fillId="0" borderId="13" xfId="0" applyNumberFormat="1" applyFont="1" applyBorder="1"/>
    <xf numFmtId="9" fontId="8" fillId="0" borderId="0" xfId="1" applyFont="1" applyAlignment="1"/>
    <xf numFmtId="0" fontId="8" fillId="0" borderId="13" xfId="0" applyFont="1" applyBorder="1"/>
    <xf numFmtId="0" fontId="18" fillId="0" borderId="0" xfId="0" applyFont="1"/>
    <xf numFmtId="170" fontId="8" fillId="0" borderId="0" xfId="1" applyNumberFormat="1" applyFont="1" applyAlignment="1"/>
    <xf numFmtId="10" fontId="18" fillId="0" borderId="0" xfId="0" applyNumberFormat="1" applyFont="1"/>
    <xf numFmtId="164" fontId="8" fillId="5" borderId="0" xfId="0" applyNumberFormat="1" applyFont="1" applyFill="1"/>
    <xf numFmtId="10" fontId="8" fillId="0" borderId="0" xfId="1" applyNumberFormat="1" applyFont="1" applyAlignment="1"/>
    <xf numFmtId="2" fontId="8" fillId="14" borderId="0" xfId="0" applyNumberFormat="1" applyFont="1" applyFill="1"/>
    <xf numFmtId="2" fontId="9" fillId="4" borderId="0" xfId="0" applyNumberFormat="1" applyFont="1" applyFill="1"/>
    <xf numFmtId="2" fontId="8" fillId="4" borderId="0" xfId="0" applyNumberFormat="1" applyFont="1" applyFill="1"/>
    <xf numFmtId="2" fontId="8" fillId="4" borderId="8" xfId="0" applyNumberFormat="1" applyFont="1" applyFill="1" applyBorder="1"/>
    <xf numFmtId="2" fontId="14" fillId="4" borderId="12" xfId="0" applyNumberFormat="1" applyFont="1" applyFill="1" applyBorder="1"/>
    <xf numFmtId="2" fontId="8" fillId="4" borderId="10" xfId="0" applyNumberFormat="1" applyFont="1" applyFill="1" applyBorder="1"/>
    <xf numFmtId="164" fontId="10" fillId="14" borderId="1" xfId="0" applyNumberFormat="1" applyFont="1" applyFill="1" applyBorder="1"/>
    <xf numFmtId="0" fontId="17" fillId="14" borderId="0" xfId="0" applyFont="1" applyFill="1"/>
    <xf numFmtId="164" fontId="10" fillId="14" borderId="17" xfId="0" applyNumberFormat="1" applyFont="1" applyFill="1" applyBorder="1"/>
    <xf numFmtId="1" fontId="8" fillId="0" borderId="0" xfId="0" applyNumberFormat="1" applyFont="1"/>
    <xf numFmtId="1" fontId="8" fillId="4" borderId="11" xfId="0" applyNumberFormat="1" applyFont="1" applyFill="1" applyBorder="1"/>
    <xf numFmtId="1" fontId="18" fillId="0" borderId="0" xfId="0" applyNumberFormat="1" applyFont="1"/>
    <xf numFmtId="1" fontId="9" fillId="14" borderId="0" xfId="0" applyNumberFormat="1" applyFont="1" applyFill="1"/>
    <xf numFmtId="1" fontId="9" fillId="14" borderId="11" xfId="0" applyNumberFormat="1" applyFont="1" applyFill="1" applyBorder="1"/>
    <xf numFmtId="1" fontId="9" fillId="0" borderId="0" xfId="0" applyNumberFormat="1" applyFont="1"/>
    <xf numFmtId="1" fontId="9" fillId="4" borderId="11" xfId="0" applyNumberFormat="1" applyFont="1" applyFill="1" applyBorder="1"/>
    <xf numFmtId="1" fontId="10" fillId="14" borderId="1" xfId="0" applyNumberFormat="1" applyFont="1" applyFill="1" applyBorder="1"/>
    <xf numFmtId="1" fontId="10" fillId="10" borderId="0" xfId="0" applyNumberFormat="1" applyFont="1" applyFill="1"/>
    <xf numFmtId="1" fontId="10" fillId="10" borderId="11" xfId="0" applyNumberFormat="1" applyFont="1" applyFill="1" applyBorder="1"/>
    <xf numFmtId="1" fontId="18" fillId="4" borderId="11" xfId="0" applyNumberFormat="1" applyFont="1" applyFill="1" applyBorder="1"/>
    <xf numFmtId="1" fontId="10" fillId="0" borderId="0" xfId="0" applyNumberFormat="1" applyFont="1"/>
    <xf numFmtId="1" fontId="23" fillId="0" borderId="0" xfId="0" applyNumberFormat="1" applyFont="1"/>
    <xf numFmtId="1" fontId="24" fillId="0" borderId="0" xfId="0" applyNumberFormat="1" applyFont="1"/>
    <xf numFmtId="1" fontId="10" fillId="14" borderId="0" xfId="0" applyNumberFormat="1" applyFont="1" applyFill="1"/>
    <xf numFmtId="1" fontId="19" fillId="0" borderId="0" xfId="0" applyNumberFormat="1" applyFont="1"/>
    <xf numFmtId="1" fontId="8" fillId="4" borderId="0" xfId="0" applyNumberFormat="1" applyFont="1" applyFill="1"/>
    <xf numFmtId="166" fontId="10" fillId="11" borderId="12" xfId="0" applyNumberFormat="1" applyFont="1" applyFill="1" applyBorder="1"/>
    <xf numFmtId="165" fontId="10" fillId="14" borderId="12" xfId="0" applyNumberFormat="1" applyFont="1" applyFill="1" applyBorder="1"/>
    <xf numFmtId="166" fontId="10" fillId="4" borderId="12" xfId="0" applyNumberFormat="1" applyFont="1" applyFill="1" applyBorder="1"/>
    <xf numFmtId="165" fontId="14" fillId="14" borderId="12" xfId="0" applyNumberFormat="1" applyFont="1" applyFill="1" applyBorder="1"/>
    <xf numFmtId="165" fontId="14" fillId="14" borderId="14" xfId="0" applyNumberFormat="1" applyFont="1" applyFill="1" applyBorder="1"/>
    <xf numFmtId="164" fontId="13" fillId="9" borderId="0" xfId="0" applyNumberFormat="1" applyFont="1" applyFill="1"/>
    <xf numFmtId="2" fontId="14" fillId="15" borderId="12" xfId="0" applyNumberFormat="1" applyFont="1" applyFill="1" applyBorder="1"/>
    <xf numFmtId="165" fontId="14" fillId="15" borderId="19" xfId="0" applyNumberFormat="1" applyFont="1" applyFill="1" applyBorder="1"/>
    <xf numFmtId="0" fontId="0" fillId="15" borderId="0" xfId="0" applyFill="1"/>
    <xf numFmtId="1" fontId="10" fillId="8" borderId="0" xfId="0" applyNumberFormat="1" applyFont="1" applyFill="1"/>
    <xf numFmtId="1" fontId="14" fillId="8" borderId="0" xfId="0" applyNumberFormat="1" applyFont="1" applyFill="1"/>
    <xf numFmtId="165" fontId="13" fillId="4" borderId="0" xfId="0" applyNumberFormat="1" applyFont="1" applyFill="1"/>
    <xf numFmtId="165" fontId="14" fillId="4" borderId="0" xfId="0" applyNumberFormat="1" applyFont="1" applyFill="1"/>
    <xf numFmtId="166" fontId="14" fillId="4" borderId="0" xfId="0" applyNumberFormat="1" applyFont="1" applyFill="1"/>
    <xf numFmtId="164" fontId="18" fillId="0" borderId="0" xfId="0" applyNumberFormat="1" applyFont="1"/>
    <xf numFmtId="164" fontId="4" fillId="4" borderId="0" xfId="0" applyNumberFormat="1" applyFont="1" applyFill="1"/>
    <xf numFmtId="164" fontId="10" fillId="16" borderId="0" xfId="0" applyNumberFormat="1" applyFont="1" applyFill="1"/>
    <xf numFmtId="164" fontId="8" fillId="16" borderId="0" xfId="0" applyNumberFormat="1" applyFont="1" applyFill="1"/>
    <xf numFmtId="0" fontId="14" fillId="4" borderId="0" xfId="0" applyFont="1" applyFill="1"/>
    <xf numFmtId="0" fontId="14" fillId="8" borderId="0" xfId="0" applyFont="1" applyFill="1"/>
    <xf numFmtId="0" fontId="12" fillId="8" borderId="0" xfId="0" applyFont="1" applyFill="1"/>
    <xf numFmtId="0" fontId="0" fillId="8" borderId="0" xfId="0" applyFill="1"/>
    <xf numFmtId="0" fontId="4" fillId="17" borderId="0" xfId="0" applyFont="1" applyFill="1"/>
    <xf numFmtId="165" fontId="14" fillId="17" borderId="14" xfId="0" applyNumberFormat="1" applyFont="1" applyFill="1" applyBorder="1"/>
    <xf numFmtId="166" fontId="14" fillId="17" borderId="12" xfId="0" applyNumberFormat="1" applyFont="1" applyFill="1" applyBorder="1"/>
    <xf numFmtId="167" fontId="8" fillId="4" borderId="18" xfId="0" applyNumberFormat="1" applyFont="1" applyFill="1" applyBorder="1"/>
    <xf numFmtId="9" fontId="16" fillId="4" borderId="3" xfId="0" applyNumberFormat="1" applyFont="1" applyFill="1" applyBorder="1"/>
    <xf numFmtId="9" fontId="16" fillId="4" borderId="5" xfId="0" applyNumberFormat="1" applyFont="1" applyFill="1" applyBorder="1"/>
    <xf numFmtId="167" fontId="10" fillId="4" borderId="5" xfId="0" applyNumberFormat="1" applyFont="1" applyFill="1" applyBorder="1"/>
    <xf numFmtId="167" fontId="10" fillId="4" borderId="7" xfId="0" applyNumberFormat="1" applyFont="1" applyFill="1" applyBorder="1"/>
    <xf numFmtId="167" fontId="10" fillId="4" borderId="0" xfId="0" applyNumberFormat="1" applyFont="1" applyFill="1"/>
    <xf numFmtId="0" fontId="3" fillId="14" borderId="0" xfId="0" applyFont="1" applyFill="1"/>
    <xf numFmtId="167" fontId="10" fillId="14" borderId="0" xfId="0" applyNumberFormat="1" applyFont="1" applyFill="1"/>
    <xf numFmtId="0" fontId="4" fillId="4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4" fillId="11" borderId="0" xfId="0" applyFont="1" applyFill="1"/>
    <xf numFmtId="167" fontId="8" fillId="13" borderId="0" xfId="0" applyNumberFormat="1" applyFont="1" applyFill="1"/>
    <xf numFmtId="10" fontId="4" fillId="4" borderId="0" xfId="0" applyNumberFormat="1" applyFont="1" applyFill="1"/>
    <xf numFmtId="0" fontId="4" fillId="14" borderId="0" xfId="0" applyFont="1" applyFill="1"/>
    <xf numFmtId="10" fontId="25" fillId="0" borderId="0" xfId="0" applyNumberFormat="1" applyFont="1"/>
    <xf numFmtId="9" fontId="25" fillId="0" borderId="0" xfId="0" applyNumberFormat="1" applyFont="1"/>
    <xf numFmtId="0" fontId="4" fillId="10" borderId="0" xfId="0" applyFont="1" applyFill="1"/>
    <xf numFmtId="4" fontId="4" fillId="10" borderId="0" xfId="0" applyNumberFormat="1" applyFont="1" applyFill="1"/>
    <xf numFmtId="10" fontId="4" fillId="4" borderId="0" xfId="0" applyNumberFormat="1" applyFont="1" applyFill="1" applyAlignment="1">
      <alignment horizontal="left"/>
    </xf>
    <xf numFmtId="173" fontId="4" fillId="4" borderId="0" xfId="3" applyNumberFormat="1" applyFont="1" applyFill="1" applyAlignment="1">
      <alignment horizontal="left"/>
    </xf>
    <xf numFmtId="170" fontId="4" fillId="4" borderId="0" xfId="0" applyNumberFormat="1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174" fontId="4" fillId="4" borderId="0" xfId="0" applyNumberFormat="1" applyFont="1" applyFill="1" applyAlignment="1">
      <alignment horizontal="left"/>
    </xf>
    <xf numFmtId="1" fontId="4" fillId="4" borderId="0" xfId="0" applyNumberFormat="1" applyFont="1" applyFill="1" applyAlignment="1">
      <alignment horizontal="left" wrapText="1"/>
    </xf>
    <xf numFmtId="10" fontId="4" fillId="4" borderId="0" xfId="0" applyNumberFormat="1" applyFont="1" applyFill="1" applyAlignment="1">
      <alignment horizontal="left" wrapText="1"/>
    </xf>
    <xf numFmtId="0" fontId="4" fillId="4" borderId="0" xfId="0" applyFont="1" applyFill="1" applyAlignment="1">
      <alignment horizontal="left" wrapText="1"/>
    </xf>
    <xf numFmtId="174" fontId="4" fillId="4" borderId="0" xfId="0" applyNumberFormat="1" applyFont="1" applyFill="1" applyAlignment="1">
      <alignment horizontal="left" wrapText="1"/>
    </xf>
    <xf numFmtId="176" fontId="4" fillId="4" borderId="0" xfId="0" applyNumberFormat="1" applyFont="1" applyFill="1" applyAlignment="1">
      <alignment horizontal="left" wrapText="1"/>
    </xf>
    <xf numFmtId="10" fontId="3" fillId="5" borderId="10" xfId="0" applyNumberFormat="1" applyFont="1" applyFill="1" applyBorder="1"/>
    <xf numFmtId="176" fontId="12" fillId="4" borderId="0" xfId="0" applyNumberFormat="1" applyFont="1" applyFill="1"/>
    <xf numFmtId="176" fontId="4" fillId="10" borderId="0" xfId="0" applyNumberFormat="1" applyFont="1" applyFill="1" applyAlignment="1">
      <alignment horizontal="left" wrapText="1"/>
    </xf>
    <xf numFmtId="175" fontId="8" fillId="4" borderId="0" xfId="0" applyNumberFormat="1" applyFont="1" applyFill="1" applyAlignment="1">
      <alignment horizontal="left"/>
    </xf>
    <xf numFmtId="0" fontId="4" fillId="10" borderId="0" xfId="0" applyFont="1" applyFill="1" applyAlignment="1">
      <alignment horizontal="left"/>
    </xf>
    <xf numFmtId="174" fontId="4" fillId="10" borderId="0" xfId="0" applyNumberFormat="1" applyFont="1" applyFill="1" applyAlignment="1">
      <alignment horizontal="left"/>
    </xf>
    <xf numFmtId="176" fontId="4" fillId="13" borderId="0" xfId="0" applyNumberFormat="1" applyFont="1" applyFill="1" applyAlignment="1">
      <alignment horizontal="left" wrapText="1"/>
    </xf>
    <xf numFmtId="0" fontId="4" fillId="13" borderId="0" xfId="0" applyFont="1" applyFill="1" applyAlignment="1">
      <alignment horizontal="left"/>
    </xf>
    <xf numFmtId="174" fontId="4" fillId="13" borderId="0" xfId="0" applyNumberFormat="1" applyFont="1" applyFill="1" applyAlignment="1">
      <alignment horizontal="left"/>
    </xf>
    <xf numFmtId="0" fontId="4" fillId="13" borderId="0" xfId="0" applyFont="1" applyFill="1"/>
    <xf numFmtId="167" fontId="8" fillId="4" borderId="4" xfId="0" applyNumberFormat="1" applyFont="1" applyFill="1" applyBorder="1"/>
    <xf numFmtId="170" fontId="4" fillId="14" borderId="0" xfId="0" applyNumberFormat="1" applyFont="1" applyFill="1" applyAlignment="1">
      <alignment horizontal="left"/>
    </xf>
    <xf numFmtId="9" fontId="4" fillId="4" borderId="0" xfId="0" applyNumberFormat="1" applyFont="1" applyFill="1" applyAlignment="1">
      <alignment horizontal="left"/>
    </xf>
    <xf numFmtId="1" fontId="4" fillId="14" borderId="0" xfId="0" applyNumberFormat="1" applyFont="1" applyFill="1"/>
    <xf numFmtId="170" fontId="3" fillId="2" borderId="5" xfId="0" applyNumberFormat="1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 textRotation="90"/>
    </xf>
    <xf numFmtId="0" fontId="14" fillId="8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0" fontId="4" fillId="14" borderId="0" xfId="0" applyNumberFormat="1" applyFont="1" applyFill="1" applyAlignment="1">
      <alignment horizontal="left"/>
    </xf>
    <xf numFmtId="171" fontId="0" fillId="0" borderId="0" xfId="0" applyNumberFormat="1"/>
    <xf numFmtId="0" fontId="0" fillId="14" borderId="0" xfId="0" applyFill="1"/>
    <xf numFmtId="0" fontId="0" fillId="0" borderId="0" xfId="0" applyAlignment="1">
      <alignment wrapText="1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Capex</a:t>
            </a:r>
            <a:r>
              <a:rPr lang="en-IN" baseline="0"/>
              <a:t> Vs Depreciation</a:t>
            </a:r>
            <a:endParaRPr lang="en-IN"/>
          </a:p>
        </c:rich>
      </c:tx>
      <c:overlay val="0"/>
      <c:spPr>
        <a:noFill/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'PPE Schedule'!$C$4:$L$4</c:f>
              <c:strCache>
                <c:ptCount val="10"/>
                <c:pt idx="0">
                  <c:v>FY 2021</c:v>
                </c:pt>
                <c:pt idx="1">
                  <c:v>FY 2022</c:v>
                </c:pt>
                <c:pt idx="2">
                  <c:v>fy2023</c:v>
                </c:pt>
                <c:pt idx="3">
                  <c:v>FY 2024</c:v>
                </c:pt>
                <c:pt idx="4">
                  <c:v>FY 2025 E</c:v>
                </c:pt>
                <c:pt idx="5">
                  <c:v>FY 2026(E)</c:v>
                </c:pt>
                <c:pt idx="6">
                  <c:v>FY 2027E</c:v>
                </c:pt>
                <c:pt idx="7">
                  <c:v>FY 2028 E</c:v>
                </c:pt>
                <c:pt idx="8">
                  <c:v>FY 2029 E</c:v>
                </c:pt>
                <c:pt idx="9">
                  <c:v>FY 2030 E</c:v>
                </c:pt>
              </c:strCache>
            </c:strRef>
          </c:cat>
          <c:val>
            <c:numRef>
              <c:f>'PPE Schedule'!$C$8:$L$8</c:f>
              <c:numCache>
                <c:formatCode>#,##0;\(#,##0\);\-\-</c:formatCode>
                <c:ptCount val="10"/>
                <c:pt idx="0">
                  <c:v>4625</c:v>
                </c:pt>
                <c:pt idx="1">
                  <c:v>5207</c:v>
                </c:pt>
                <c:pt idx="2">
                  <c:v>5518</c:v>
                </c:pt>
                <c:pt idx="3">
                  <c:v>5318</c:v>
                </c:pt>
                <c:pt idx="4">
                  <c:v>5841.9143999999997</c:v>
                </c:pt>
                <c:pt idx="5">
                  <c:v>6192.4292640000003</c:v>
                </c:pt>
                <c:pt idx="6">
                  <c:v>6563.9750198400006</c:v>
                </c:pt>
                <c:pt idx="7">
                  <c:v>6957.8135210304017</c:v>
                </c:pt>
                <c:pt idx="8">
                  <c:v>7375.2823322922259</c:v>
                </c:pt>
                <c:pt idx="9">
                  <c:v>7817.7992722297604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8-48D2-8787-82BBDFB3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005632"/>
        <c:axId val="98600515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'PPE Schedule'!$C$4:$L$4</c:f>
              <c:strCache>
                <c:ptCount val="10"/>
                <c:pt idx="0">
                  <c:v>FY 2021</c:v>
                </c:pt>
                <c:pt idx="1">
                  <c:v>FY 2022</c:v>
                </c:pt>
                <c:pt idx="2">
                  <c:v>fy2023</c:v>
                </c:pt>
                <c:pt idx="3">
                  <c:v>FY 2024</c:v>
                </c:pt>
                <c:pt idx="4">
                  <c:v>FY 2025 E</c:v>
                </c:pt>
                <c:pt idx="5">
                  <c:v>FY 2026(E)</c:v>
                </c:pt>
                <c:pt idx="6">
                  <c:v>FY 2027E</c:v>
                </c:pt>
                <c:pt idx="7">
                  <c:v>FY 2028 E</c:v>
                </c:pt>
                <c:pt idx="8">
                  <c:v>FY 2029 E</c:v>
                </c:pt>
                <c:pt idx="9">
                  <c:v>FY 2030 E</c:v>
                </c:pt>
              </c:strCache>
            </c:strRef>
          </c:cat>
          <c:val>
            <c:numRef>
              <c:f>'PPE Schedule'!$C$11:$L$11</c:f>
              <c:numCache>
                <c:formatCode>#,##0;\(#,##0\);\-\-</c:formatCode>
                <c:ptCount val="10"/>
                <c:pt idx="0">
                  <c:v>2710</c:v>
                </c:pt>
                <c:pt idx="1">
                  <c:v>2763</c:v>
                </c:pt>
                <c:pt idx="2">
                  <c:v>2948</c:v>
                </c:pt>
                <c:pt idx="3">
                  <c:v>3160</c:v>
                </c:pt>
                <c:pt idx="4">
                  <c:v>3247.5405059999998</c:v>
                </c:pt>
                <c:pt idx="5">
                  <c:v>3538.3517952299999</c:v>
                </c:pt>
                <c:pt idx="6">
                  <c:v>3836.5360816324496</c:v>
                </c:pt>
                <c:pt idx="7">
                  <c:v>4143.5936914567392</c:v>
                </c:pt>
                <c:pt idx="8">
                  <c:v>4461.0038861532184</c:v>
                </c:pt>
                <c:pt idx="9">
                  <c:v>4790.2352623445358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8-48D2-8787-82BBDFB3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005632"/>
        <c:axId val="986005152"/>
      </c:lineChart>
      <c:catAx>
        <c:axId val="986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05152"/>
        <c:crosses val="autoZero"/>
        <c:auto val="1"/>
        <c:lblAlgn val="ctr"/>
        <c:lblOffset val="100"/>
        <c:noMultiLvlLbl val="0"/>
      </c:catAx>
      <c:valAx>
        <c:axId val="9860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0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Leverage</a:t>
            </a:r>
            <a:r>
              <a:rPr lang="en-IN" baseline="0"/>
              <a:t> </a:t>
            </a:r>
            <a:endParaRPr lang="en-IN"/>
          </a:p>
        </c:rich>
      </c:tx>
      <c:overlay val="1"/>
      <c:spPr>
        <a:noFill/>
        <a:ln>
          <a:noFill/>
        </a:ln>
        <a:effectLst>
          <a:outerShdw blurRad="50800" dist="50800" dir="5400000" algn="ctr" rotWithShape="0">
            <a:schemeClr val="accent3">
              <a:lumMod val="20000"/>
              <a:lumOff val="8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80927384077"/>
          <c:y val="0.14661492022423459"/>
          <c:w val="0.8225325896762905"/>
          <c:h val="0.60733753688292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Dashboard!$A$40</c:f>
              <c:strCache>
                <c:ptCount val="1"/>
                <c:pt idx="0">
                  <c:v>Net Debt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Dashboard!$B$38:$K$38</c:f>
              <c:strCache>
                <c:ptCount val="10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 E</c:v>
                </c:pt>
                <c:pt idx="5">
                  <c:v>FY 2026(E)</c:v>
                </c:pt>
                <c:pt idx="6">
                  <c:v>FY 2027E</c:v>
                </c:pt>
                <c:pt idx="7">
                  <c:v>FY 2028 E</c:v>
                </c:pt>
                <c:pt idx="8">
                  <c:v>FY 2029 E</c:v>
                </c:pt>
                <c:pt idx="9">
                  <c:v>FY 2030 E</c:v>
                </c:pt>
              </c:strCache>
            </c:strRef>
          </c:cat>
          <c:val>
            <c:numRef>
              <c:f>Dashboard!$B$40:$K$40</c:f>
              <c:numCache>
                <c:formatCode>0</c:formatCode>
                <c:ptCount val="10"/>
                <c:pt idx="0">
                  <c:v>34738</c:v>
                </c:pt>
                <c:pt idx="1">
                  <c:v>34117</c:v>
                </c:pt>
                <c:pt idx="2">
                  <c:v>34394</c:v>
                </c:pt>
                <c:pt idx="3">
                  <c:v>35801</c:v>
                </c:pt>
                <c:pt idx="4">
                  <c:v>34585.627527315308</c:v>
                </c:pt>
                <c:pt idx="5">
                  <c:v>33905.892599934217</c:v>
                </c:pt>
                <c:pt idx="6">
                  <c:v>33083.723381441225</c:v>
                </c:pt>
                <c:pt idx="7">
                  <c:v>32119.591548131939</c:v>
                </c:pt>
                <c:pt idx="8">
                  <c:v>31013.050214834613</c:v>
                </c:pt>
                <c:pt idx="9">
                  <c:v>29762.778241736938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7-4830-B8D1-8AE3C8E57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74738912"/>
        <c:axId val="1074733632"/>
      </c:barChart>
      <c:lineChart>
        <c:grouping val="standard"/>
        <c:varyColors val="0"/>
        <c:ser>
          <c:idx val="1"/>
          <c:order val="1"/>
          <c:tx>
            <c:strRef>
              <c:f>Dashboard!$A$41</c:f>
              <c:strCache>
                <c:ptCount val="1"/>
                <c:pt idx="0">
                  <c:v>Leverage Ratio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Dashboard!$B$38:$K$38</c:f>
              <c:strCache>
                <c:ptCount val="10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 E</c:v>
                </c:pt>
                <c:pt idx="5">
                  <c:v>FY 2026(E)</c:v>
                </c:pt>
                <c:pt idx="6">
                  <c:v>FY 2027E</c:v>
                </c:pt>
                <c:pt idx="7">
                  <c:v>FY 2028 E</c:v>
                </c:pt>
                <c:pt idx="8">
                  <c:v>FY 2029 E</c:v>
                </c:pt>
                <c:pt idx="9">
                  <c:v>FY 2030 E</c:v>
                </c:pt>
              </c:strCache>
            </c:strRef>
          </c:cat>
          <c:val>
            <c:numRef>
              <c:f>Dashboard!$B$41:$K$41</c:f>
              <c:numCache>
                <c:formatCode>0.0</c:formatCode>
                <c:ptCount val="10"/>
                <c:pt idx="0">
                  <c:v>2.413366680561345</c:v>
                </c:pt>
                <c:pt idx="1">
                  <c:v>2.3680849587006318</c:v>
                </c:pt>
                <c:pt idx="2">
                  <c:v>2.2651475237091674</c:v>
                </c:pt>
                <c:pt idx="3">
                  <c:v>2.2340717628705149</c:v>
                </c:pt>
                <c:pt idx="4">
                  <c:v>1.9489708843133058</c:v>
                </c:pt>
                <c:pt idx="5">
                  <c:v>1.7933668287014068</c:v>
                </c:pt>
                <c:pt idx="6">
                  <c:v>1.6437860726656677</c:v>
                </c:pt>
                <c:pt idx="7">
                  <c:v>1.5001446664079303</c:v>
                </c:pt>
                <c:pt idx="8">
                  <c:v>1.3623456603711053</c:v>
                </c:pt>
                <c:pt idx="9">
                  <c:v>1.2302792383360526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7-4830-B8D1-8AE3C8E57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150048"/>
        <c:axId val="989149088"/>
      </c:lineChart>
      <c:catAx>
        <c:axId val="107473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33632"/>
        <c:crosses val="autoZero"/>
        <c:auto val="1"/>
        <c:lblAlgn val="ctr"/>
        <c:lblOffset val="100"/>
        <c:noMultiLvlLbl val="0"/>
      </c:catAx>
      <c:valAx>
        <c:axId val="10747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38912"/>
        <c:crosses val="autoZero"/>
        <c:crossBetween val="between"/>
      </c:valAx>
      <c:valAx>
        <c:axId val="989149088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50048"/>
        <c:crosses val="max"/>
        <c:crossBetween val="between"/>
      </c:valAx>
      <c:catAx>
        <c:axId val="989150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9149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198033707865169"/>
          <c:y val="2.9154518950437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Free Cash Flow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Dashboard!$E$38:$K$38</c:f>
              <c:strCache>
                <c:ptCount val="7"/>
                <c:pt idx="0">
                  <c:v>FY 2024</c:v>
                </c:pt>
                <c:pt idx="1">
                  <c:v>FY 2025 E</c:v>
                </c:pt>
                <c:pt idx="2">
                  <c:v>FY 2026(E)</c:v>
                </c:pt>
                <c:pt idx="3">
                  <c:v>FY 2027E</c:v>
                </c:pt>
                <c:pt idx="4">
                  <c:v>FY 2028 E</c:v>
                </c:pt>
                <c:pt idx="5">
                  <c:v>FY 2029 E</c:v>
                </c:pt>
                <c:pt idx="6">
                  <c:v>FY 2030 E</c:v>
                </c:pt>
              </c:strCache>
            </c:strRef>
          </c:cat>
          <c:val>
            <c:numRef>
              <c:f>Dashboard!$E$43:$K$43</c:f>
              <c:numCache>
                <c:formatCode>0</c:formatCode>
                <c:ptCount val="7"/>
                <c:pt idx="0">
                  <c:v>7443.5235225179986</c:v>
                </c:pt>
                <c:pt idx="1">
                  <c:v>10297.307515315064</c:v>
                </c:pt>
                <c:pt idx="2">
                  <c:v>10290.819055788901</c:v>
                </c:pt>
                <c:pt idx="3">
                  <c:v>10994.151377824903</c:v>
                </c:pt>
                <c:pt idx="4">
                  <c:v>11730.665905420727</c:v>
                </c:pt>
                <c:pt idx="5">
                  <c:v>12503.300432955053</c:v>
                </c:pt>
                <c:pt idx="6">
                  <c:v>13315.069601954474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5-42CD-BE3D-E1417B7AF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144832"/>
        <c:axId val="1469145312"/>
      </c:barChart>
      <c:catAx>
        <c:axId val="14691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45312"/>
        <c:crosses val="autoZero"/>
        <c:auto val="1"/>
        <c:lblAlgn val="ctr"/>
        <c:lblOffset val="100"/>
        <c:noMultiLvlLbl val="0"/>
      </c:catAx>
      <c:valAx>
        <c:axId val="14691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44832"/>
        <c:crosses val="autoZero"/>
        <c:crossBetween val="between"/>
      </c:valAx>
      <c:spPr>
        <a:noFill/>
        <a:ln>
          <a:solidFill>
            <a:schemeClr val="accent3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Valuation</a:t>
            </a:r>
            <a:r>
              <a:rPr lang="en-IN" b="1" baseline="0"/>
              <a:t> football Field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767913385826769"/>
          <c:y val="0.19240974302990888"/>
          <c:w val="0.9091968503937008"/>
          <c:h val="0.641767279090113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Dashboard!$E$53:$E$57</c:f>
              <c:strCache>
                <c:ptCount val="5"/>
                <c:pt idx="0">
                  <c:v>127</c:v>
                </c:pt>
                <c:pt idx="1">
                  <c:v>145</c:v>
                </c:pt>
                <c:pt idx="2">
                  <c:v>115</c:v>
                </c:pt>
                <c:pt idx="3">
                  <c:v>140</c:v>
                </c:pt>
                <c:pt idx="4">
                  <c:v>175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Dashboard!$B$53:$B$59</c:f>
              <c:strCache>
                <c:ptCount val="7"/>
                <c:pt idx="0">
                  <c:v>52 Week Trading Range</c:v>
                </c:pt>
                <c:pt idx="1">
                  <c:v>Comps (Pe Ratio)</c:v>
                </c:pt>
                <c:pt idx="2">
                  <c:v>DCF (Bear Case)</c:v>
                </c:pt>
                <c:pt idx="3">
                  <c:v>DCF (Base Case)</c:v>
                </c:pt>
                <c:pt idx="4">
                  <c:v>DCF (Bull Case)</c:v>
                </c:pt>
                <c:pt idx="6">
                  <c:v>Current share Price</c:v>
                </c:pt>
              </c:strCache>
            </c:strRef>
          </c:cat>
          <c:val>
            <c:numRef>
              <c:f>Dashboard!$E$53:$E$57</c:f>
              <c:numCache>
                <c:formatCode>General</c:formatCode>
                <c:ptCount val="5"/>
                <c:pt idx="0">
                  <c:v>127</c:v>
                </c:pt>
                <c:pt idx="1">
                  <c:v>145</c:v>
                </c:pt>
                <c:pt idx="2">
                  <c:v>115</c:v>
                </c:pt>
                <c:pt idx="3">
                  <c:v>140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6-4742-9437-02D7CE3C6874}"/>
            </c:ext>
          </c:extLst>
        </c:ser>
        <c:ser>
          <c:idx val="1"/>
          <c:order val="1"/>
          <c:tx>
            <c:strRef>
              <c:f>Dashboard!$F$53:$F$57</c:f>
              <c:strCache>
                <c:ptCount val="5"/>
                <c:pt idx="0">
                  <c:v>36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Dashboard!$B$53:$B$59</c:f>
              <c:strCache>
                <c:ptCount val="7"/>
                <c:pt idx="0">
                  <c:v>52 Week Trading Range</c:v>
                </c:pt>
                <c:pt idx="1">
                  <c:v>Comps (Pe Ratio)</c:v>
                </c:pt>
                <c:pt idx="2">
                  <c:v>DCF (Bear Case)</c:v>
                </c:pt>
                <c:pt idx="3">
                  <c:v>DCF (Base Case)</c:v>
                </c:pt>
                <c:pt idx="4">
                  <c:v>DCF (Bull Case)</c:v>
                </c:pt>
                <c:pt idx="6">
                  <c:v>Current share Price</c:v>
                </c:pt>
              </c:strCache>
            </c:strRef>
          </c:cat>
          <c:val>
            <c:numRef>
              <c:f>Dashboard!$F$53:$F$57</c:f>
              <c:numCache>
                <c:formatCode>General</c:formatCode>
                <c:ptCount val="5"/>
                <c:pt idx="0">
                  <c:v>36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6-4742-9437-02D7CE3C6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600480"/>
        <c:axId val="989600960"/>
      </c:barChart>
      <c:catAx>
        <c:axId val="98960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00960"/>
        <c:crosses val="autoZero"/>
        <c:auto val="1"/>
        <c:lblAlgn val="ctr"/>
        <c:lblOffset val="100"/>
        <c:noMultiLvlLbl val="0"/>
      </c:catAx>
      <c:valAx>
        <c:axId val="98960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Field'!$D$14:$D$17</c:f>
              <c:numCache>
                <c:formatCode>General</c:formatCode>
                <c:ptCount val="4"/>
                <c:pt idx="0">
                  <c:v>440</c:v>
                </c:pt>
                <c:pt idx="1">
                  <c:v>510</c:v>
                </c:pt>
                <c:pt idx="2">
                  <c:v>550</c:v>
                </c:pt>
                <c:pt idx="3">
                  <c:v>144980.43999999994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5-514A-B0B4-61B3928DBD0E}"/>
            </c:ext>
          </c:extLst>
        </c:ser>
        <c:ser>
          <c:idx val="1"/>
          <c:order val="1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5.6923228346456703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490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325-514A-B0B4-61B3928DBD0E}"/>
                </c:ext>
              </c:extLst>
            </c:dLbl>
            <c:dLbl>
              <c:idx val="1"/>
              <c:layout>
                <c:manualLayout>
                  <c:x val="6.8659011373578299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580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325-514A-B0B4-61B3928DBD0E}"/>
                </c:ext>
              </c:extLst>
            </c:dLbl>
            <c:dLbl>
              <c:idx val="2"/>
              <c:layout>
                <c:manualLayout>
                  <c:x val="0.15178980752405899"/>
                  <c:y val="4.2437781360066697E-17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750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325-514A-B0B4-61B3928DBD0E}"/>
                </c:ext>
              </c:extLst>
            </c:dLbl>
            <c:dLbl>
              <c:idx val="3"/>
              <c:layout>
                <c:manualLayout>
                  <c:x val="7.9641732283464606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476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325-514A-B0B4-61B3928DBD0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Field'!$E$14:$E$17</c:f>
              <c:numCache>
                <c:formatCode>General</c:formatCode>
                <c:ptCount val="4"/>
                <c:pt idx="0">
                  <c:v>50</c:v>
                </c:pt>
                <c:pt idx="1">
                  <c:v>70</c:v>
                </c:pt>
                <c:pt idx="2">
                  <c:v>200</c:v>
                </c:pt>
                <c:pt idx="3">
                  <c:v>28996.087999999989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5-514A-B0B4-61B3928D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3076000"/>
        <c:axId val="1823067776"/>
      </c:barChart>
      <c:catAx>
        <c:axId val="182307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067776"/>
        <c:crosses val="autoZero"/>
        <c:auto val="1"/>
        <c:lblAlgn val="ctr"/>
        <c:lblOffset val="100"/>
        <c:noMultiLvlLbl val="0"/>
      </c:catAx>
      <c:valAx>
        <c:axId val="1823067776"/>
        <c:scaling>
          <c:orientation val="minMax"/>
          <c:max val="8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076000"/>
        <c:crosses val="autoZero"/>
        <c:crossBetween val="between"/>
        <c:majorUnit val="100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22860</xdr:rowOff>
    </xdr:from>
    <xdr:to>
      <xdr:col>7</xdr:col>
      <xdr:colOff>335280</xdr:colOff>
      <xdr:row>13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29585-C7FA-4533-B9E5-0BC64B9A0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0</xdr:row>
      <xdr:rowOff>0</xdr:rowOff>
    </xdr:from>
    <xdr:to>
      <xdr:col>16</xdr:col>
      <xdr:colOff>7620</xdr:colOff>
      <xdr:row>13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1FE4C4-5075-42C5-9D72-8FDB2CEAAFE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13</xdr:row>
      <xdr:rowOff>91440</xdr:rowOff>
    </xdr:from>
    <xdr:to>
      <xdr:col>7</xdr:col>
      <xdr:colOff>327660</xdr:colOff>
      <xdr:row>27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22E650-F5A5-45B7-9060-080157390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312420</xdr:colOff>
      <xdr:row>13</xdr:row>
      <xdr:rowOff>114300</xdr:rowOff>
    </xdr:from>
    <xdr:to>
      <xdr:col>16</xdr:col>
      <xdr:colOff>7620</xdr:colOff>
      <xdr:row>27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FA0ED2-D198-4C67-87F7-CC26E42DA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335280</xdr:colOff>
      <xdr:row>17</xdr:row>
      <xdr:rowOff>76200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9D6B0DD-6664-6FC7-D445-E3C541550F32}"/>
            </a:ext>
          </a:extLst>
        </xdr:cNvPr>
        <xdr:cNvSpPr txBox="1"/>
      </xdr:nvSpPr>
      <xdr:spPr>
        <a:xfrm>
          <a:off x="9113520" y="318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12</xdr:col>
      <xdr:colOff>525780</xdr:colOff>
      <xdr:row>17</xdr:row>
      <xdr:rowOff>91440</xdr:rowOff>
    </xdr:from>
    <xdr:to>
      <xdr:col>13</xdr:col>
      <xdr:colOff>220980</xdr:colOff>
      <xdr:row>17</xdr:row>
      <xdr:rowOff>91440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4E576D9-39DA-3639-9B76-AD624AD02B5A}"/>
            </a:ext>
          </a:extLst>
        </xdr:cNvPr>
        <xdr:cNvCxnSpPr/>
      </xdr:nvCxnSpPr>
      <xdr:spPr>
        <a:xfrm>
          <a:off x="8694420" y="3200400"/>
          <a:ext cx="30480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</xdr:colOff>
      <xdr:row>29</xdr:row>
      <xdr:rowOff>22860</xdr:rowOff>
    </xdr:from>
    <xdr:to>
      <xdr:col>16</xdr:col>
      <xdr:colOff>259080</xdr:colOff>
      <xdr:row>35</xdr:row>
      <xdr:rowOff>121920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7A4232C-26AE-5BBC-D399-D40030EA0124}"/>
            </a:ext>
          </a:extLst>
        </xdr:cNvPr>
        <xdr:cNvSpPr txBox="1"/>
      </xdr:nvSpPr>
      <xdr:spPr>
        <a:xfrm>
          <a:off x="53340" y="5326380"/>
          <a:ext cx="10812780" cy="119634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1.For the Capex Chart (Top Left):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Pepsi is in a growth phase, consistently investing above maintenance levels (Capex &gt; Depreciation) to expand manufacturing capacity.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the Leverage Chart (Top Right):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Strong de-leveraging profile. Net Debt stabilizes while EBITDA growth drives the Leverage Ratio down from ~2.4x to &lt;1.5x by 2030.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the Valuation Chart (Bottom Right):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DCF analysis suggests a fair value range of $150 - $180. The current share price sits at the lower end of this range, implying a potential buying opportunity.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</cdr:x>
      <cdr:y>0.25139</cdr:y>
    </cdr:from>
    <cdr:to>
      <cdr:x>0.64</cdr:x>
      <cdr:y>0.89306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96A533-615D-EEBC-B9DC-8A3517EEF8FD}"/>
            </a:ext>
          </a:extLst>
        </cdr:cNvPr>
        <cdr:cNvCxnSpPr/>
      </cdr:nvCxnSpPr>
      <cdr:spPr>
        <a:xfrm xmlns:a="http://schemas.openxmlformats.org/drawingml/2006/main">
          <a:off x="2926080" y="689610"/>
          <a:ext cx="0" cy="1760220"/>
        </a:xfrm>
        <a:prstGeom xmlns:a="http://schemas.openxmlformats.org/drawingml/2006/main" prst="line">
          <a:avLst/>
        </a:prstGeom>
        <a:ln xmlns:a="http://schemas.openxmlformats.org/drawingml/2006/main" w="31750">
          <a:solidFill>
            <a:srgbClr val="0070C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0.41667</cdr:x>
      <cdr:y>0.20059</cdr:y>
    </cdr:from>
    <cdr:to>
      <cdr:x>0.60167</cdr:x>
      <cdr:y>0.40708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0A270A-5743-FC83-7F5A-91D608CFBB68}"/>
            </a:ext>
          </a:extLst>
        </cdr:cNvPr>
        <cdr:cNvSpPr txBox="1"/>
      </cdr:nvSpPr>
      <cdr:spPr>
        <a:xfrm xmlns:a="http://schemas.openxmlformats.org/drawingml/2006/main">
          <a:off x="1905000" y="518160"/>
          <a:ext cx="84582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Current</a:t>
          </a:r>
          <a:r>
            <a:rPr lang="en-IN" sz="1100" kern="1200" baseline="0"/>
            <a:t> Share Price</a:t>
          </a:r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46</xdr:row>
      <xdr:rowOff>76200</xdr:rowOff>
    </xdr:from>
    <xdr:to>
      <xdr:col>4</xdr:col>
      <xdr:colOff>792480</xdr:colOff>
      <xdr:row>54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65E651-8EE7-C4A8-379D-E98F1688A2D4}"/>
            </a:ext>
          </a:extLst>
        </xdr:cNvPr>
        <xdr:cNvSpPr txBox="1"/>
      </xdr:nvSpPr>
      <xdr:spPr>
        <a:xfrm>
          <a:off x="3108960" y="7680960"/>
          <a:ext cx="2644140" cy="13639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Assumption</a:t>
          </a:r>
        </a:p>
        <a:p>
          <a:endParaRPr lang="en-IN" sz="1100"/>
        </a:p>
        <a:p>
          <a:r>
            <a:rPr lang="en-IN" sz="1100"/>
            <a:t>Assume Annual Sales growth to be 6%</a:t>
          </a:r>
          <a:r>
            <a:rPr lang="en-IN" sz="1100" baseline="0"/>
            <a:t> from 2025 onwards.</a:t>
          </a:r>
          <a:br>
            <a:rPr lang="en-IN" sz="1100" baseline="0"/>
          </a:br>
          <a:r>
            <a:rPr lang="en-IN" sz="1100" baseline="0"/>
            <a:t>Also Medical Expenses/income to be zero and Other expenses to be zero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579120</xdr:colOff>
      <xdr:row>3</xdr:row>
      <xdr:rowOff>45720</xdr:rowOff>
    </xdr:from>
    <xdr:to>
      <xdr:col>20</xdr:col>
      <xdr:colOff>358140</xdr:colOff>
      <xdr:row>4</xdr:row>
      <xdr:rowOff>982980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D34BF8-1081-D4A1-33F5-F7814D28A4BC}"/>
            </a:ext>
          </a:extLst>
        </xdr:cNvPr>
        <xdr:cNvSpPr txBox="1"/>
      </xdr:nvSpPr>
      <xdr:spPr>
        <a:xfrm>
          <a:off x="8785860" y="594360"/>
          <a:ext cx="5265420" cy="11201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Assumptions-</a:t>
          </a:r>
          <a:br>
            <a:rPr lang="en-IN" sz="1100"/>
          </a:br>
          <a:r>
            <a:rPr lang="en-IN" sz="1100"/>
            <a:t>*Capital in excess is considered same beyond 2024</a:t>
          </a:r>
        </a:p>
        <a:p>
          <a:r>
            <a:rPr lang="en-IN" sz="1100"/>
            <a:t>*Accumulated Comprehensive loss is considered</a:t>
          </a:r>
          <a:r>
            <a:rPr lang="en-IN" sz="1100" baseline="0"/>
            <a:t> same beyond 2024 As 2024 value</a:t>
          </a:r>
        </a:p>
        <a:p>
          <a:r>
            <a:rPr lang="en-IN" sz="1100" baseline="0"/>
            <a:t>*Same goes for Non controlling interest</a:t>
          </a:r>
        </a:p>
        <a:p>
          <a:r>
            <a:rPr lang="en-IN" sz="1100" baseline="0"/>
            <a:t>*No new Stock repurchase is considered post 2024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17</xdr:row>
      <xdr:rowOff>45720</xdr:rowOff>
    </xdr:from>
    <xdr:to>
      <xdr:col>10</xdr:col>
      <xdr:colOff>144780</xdr:colOff>
      <xdr:row>23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87A84B-771B-365B-EED5-6C03AEB3BA62}"/>
            </a:ext>
          </a:extLst>
        </xdr:cNvPr>
        <xdr:cNvSpPr txBox="1"/>
      </xdr:nvSpPr>
      <xdr:spPr>
        <a:xfrm>
          <a:off x="220980" y="2773680"/>
          <a:ext cx="8709660" cy="10439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* From</a:t>
          </a:r>
          <a:r>
            <a:rPr lang="en-IN" sz="1100" baseline="0"/>
            <a:t> 2025-2030 Capex is taken as percentage of sales (6% assumed given historical figure)</a:t>
          </a:r>
        </a:p>
        <a:p>
          <a:r>
            <a:rPr lang="en-IN" sz="1100" baseline="0"/>
            <a:t>* Depreciation is calculated as % of opening balance and capex taken as half year (10.5% assumed from 2025 given historical figure)</a:t>
          </a:r>
        </a:p>
        <a:p>
          <a:r>
            <a:rPr lang="en-IN" sz="1100" baseline="0"/>
            <a:t>* One time sales is taken as 0 from 2025 as there is no way to predict it</a:t>
          </a:r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17</xdr:row>
      <xdr:rowOff>121920</xdr:rowOff>
    </xdr:from>
    <xdr:to>
      <xdr:col>19</xdr:col>
      <xdr:colOff>91440</xdr:colOff>
      <xdr:row>23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DBE152-DDF8-05A3-8964-9514ADD140B8}"/>
            </a:ext>
          </a:extLst>
        </xdr:cNvPr>
        <xdr:cNvSpPr txBox="1"/>
      </xdr:nvSpPr>
      <xdr:spPr>
        <a:xfrm>
          <a:off x="10401300" y="2987040"/>
          <a:ext cx="3665220" cy="9372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ASSUMPTIONS-</a:t>
          </a:r>
        </a:p>
        <a:p>
          <a:r>
            <a:rPr lang="en-IN" sz="1100"/>
            <a:t>* Term debt amortization is calculated at 4.5% Post 2024 based on historical interest.</a:t>
          </a:r>
        </a:p>
        <a:p>
          <a:r>
            <a:rPr lang="en-IN" sz="1100"/>
            <a:t>*Minimum Cash company hold is taken as $1000.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101600</xdr:rowOff>
    </xdr:from>
    <xdr:to>
      <xdr:col>18</xdr:col>
      <xdr:colOff>342900</xdr:colOff>
      <xdr:row>17</xdr:row>
      <xdr:rowOff>177800</xdr:rowOff>
    </xdr:to>
    <xdr:graphicFrame macro="">
      <xdr:nvGraphicFramePr>
        <xdr:cNvPr id="23553" name="Chart 1">
          <a:extLst>
            <a:ext uri="{FF2B5EF4-FFF2-40B4-BE49-F238E27FC236}">
              <a16:creationId xmlns:a16="http://schemas.microsoft.com/office/drawing/2014/main" id="{AB16742E-176F-8C47-B602-6AAE0ED3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383D-4062-4347-9F75-19D41BE94A0E}">
  <sheetPr>
    <tabColor rgb="FFFFFF00"/>
  </sheetPr>
  <dimension ref="A38:L59"/>
  <sheetViews>
    <sheetView tabSelected="1" workbookViewId="0">
      <selection activeCell="O41" sqref="O41"/>
    </sheetView>
  </sheetViews>
  <sheetFormatPr defaultRowHeight="14.4" x14ac:dyDescent="0.3"/>
  <cols>
    <col min="2" max="2" width="12.6640625" customWidth="1"/>
    <col min="3" max="3" width="13.33203125" customWidth="1"/>
    <col min="4" max="4" width="13.109375" customWidth="1"/>
  </cols>
  <sheetData>
    <row r="38" spans="1:12" x14ac:dyDescent="0.3">
      <c r="B38" t="str">
        <f>'Income Statement'!C4</f>
        <v>FY 2021</v>
      </c>
      <c r="C38" t="str">
        <f>'Income Statement'!D4</f>
        <v>FY 2022</v>
      </c>
      <c r="D38" t="str">
        <f>'Income Statement'!E4</f>
        <v>FY 2023</v>
      </c>
      <c r="E38" t="str">
        <f>'Income Statement'!F4</f>
        <v>FY 2024</v>
      </c>
      <c r="F38" t="str">
        <f>'Income Statement'!G4</f>
        <v>FY 2025 E</v>
      </c>
      <c r="G38" t="str">
        <f>'Income Statement'!H4</f>
        <v>FY 2026(E)</v>
      </c>
      <c r="H38" t="str">
        <f>'Income Statement'!I4</f>
        <v>FY 2027E</v>
      </c>
      <c r="I38" t="str">
        <f>'Income Statement'!J4</f>
        <v>FY 2028 E</v>
      </c>
      <c r="J38" t="str">
        <f>'Income Statement'!K4</f>
        <v>FY 2029 E</v>
      </c>
      <c r="K38" t="str">
        <f>'Income Statement'!L4</f>
        <v>FY 2030 E</v>
      </c>
      <c r="L38">
        <f>'Income Statement'!M4</f>
        <v>0</v>
      </c>
    </row>
    <row r="39" spans="1:12" x14ac:dyDescent="0.3">
      <c r="A39" t="s">
        <v>265</v>
      </c>
      <c r="B39">
        <f>'Income Statement'!C20+'Income Statement'!C35</f>
        <v>14394</v>
      </c>
      <c r="C39">
        <f>'Income Statement'!D20+'Income Statement'!D35</f>
        <v>14407</v>
      </c>
      <c r="D39">
        <f>'Income Statement'!E20+'Income Statement'!E35</f>
        <v>15184</v>
      </c>
      <c r="E39">
        <f>'Income Statement'!F20+'Income Statement'!F35</f>
        <v>16025</v>
      </c>
      <c r="F39">
        <f ca="1">'Income Statement'!G20+'Income Statement'!G35</f>
        <v>17745.584505999996</v>
      </c>
      <c r="G39">
        <f ca="1">'Income Statement'!H20+'Income Statement'!H35</f>
        <v>18906.278435229997</v>
      </c>
      <c r="H39">
        <f ca="1">'Income Statement'!I20+'Income Statement'!I35</f>
        <v>20126.538320032461</v>
      </c>
      <c r="I39">
        <f ca="1">'Income Statement'!J20+'Income Statement'!J35</f>
        <v>21410.99606416075</v>
      </c>
      <c r="J39">
        <f ca="1">'Income Statement'!K20+'Income Statement'!K35</f>
        <v>22764.45040121947</v>
      </c>
      <c r="K39">
        <f ca="1">'Income Statement'!L20+'Income Statement'!L35</f>
        <v>24191.888568314756</v>
      </c>
    </row>
    <row r="40" spans="1:12" x14ac:dyDescent="0.3">
      <c r="A40" t="s">
        <v>266</v>
      </c>
      <c r="B40" s="113">
        <f ca="1">'Balance Sheet'!C32+'Balance Sheet'!C37+'Balance Sheet'!G38-'Balance Sheet'!C18</f>
        <v>34738</v>
      </c>
      <c r="C40" s="113">
        <f>'Balance Sheet'!D32+'Balance Sheet'!D37-'Balance Sheet'!D18</f>
        <v>34117</v>
      </c>
      <c r="D40" s="113">
        <f>'Balance Sheet'!E32+'Balance Sheet'!E37-'Balance Sheet'!E18</f>
        <v>34394</v>
      </c>
      <c r="E40" s="113">
        <f>'Balance Sheet'!F32+'Balance Sheet'!F37-'Balance Sheet'!F18</f>
        <v>35801</v>
      </c>
      <c r="F40" s="113">
        <f ca="1">'Balance Sheet'!G32+'Balance Sheet'!G37-'Balance Sheet'!G18</f>
        <v>34585.627527315308</v>
      </c>
      <c r="G40" s="113">
        <f ca="1">'Balance Sheet'!H32+'Balance Sheet'!H37-'Balance Sheet'!H18</f>
        <v>33905.892599934217</v>
      </c>
      <c r="H40" s="113">
        <f ca="1">'Balance Sheet'!I32+'Balance Sheet'!I37-'Balance Sheet'!I18</f>
        <v>33083.723381441225</v>
      </c>
      <c r="I40" s="113">
        <f ca="1">'Balance Sheet'!J32+'Balance Sheet'!J37-'Balance Sheet'!J18</f>
        <v>32119.591548131939</v>
      </c>
      <c r="J40" s="113">
        <f ca="1">'Balance Sheet'!K32+'Balance Sheet'!K37-'Balance Sheet'!K18</f>
        <v>31013.050214834613</v>
      </c>
      <c r="K40" s="113">
        <f ca="1">'Balance Sheet'!L32+'Balance Sheet'!L37-'Balance Sheet'!L18</f>
        <v>29762.778241736938</v>
      </c>
    </row>
    <row r="41" spans="1:12" x14ac:dyDescent="0.3">
      <c r="A41" t="s">
        <v>267</v>
      </c>
      <c r="B41" s="284">
        <f ca="1">B40/B39</f>
        <v>2.413366680561345</v>
      </c>
      <c r="C41" s="284">
        <f t="shared" ref="C41:K41" si="0">C40/C39</f>
        <v>2.3680849587006318</v>
      </c>
      <c r="D41" s="284">
        <f t="shared" si="0"/>
        <v>2.2651475237091674</v>
      </c>
      <c r="E41" s="284">
        <f t="shared" si="0"/>
        <v>2.2340717628705149</v>
      </c>
      <c r="F41" s="284">
        <f t="shared" ca="1" si="0"/>
        <v>1.9489708843133058</v>
      </c>
      <c r="G41" s="284">
        <f t="shared" ca="1" si="0"/>
        <v>1.7933668287014068</v>
      </c>
      <c r="H41" s="284">
        <f t="shared" ca="1" si="0"/>
        <v>1.6437860726656677</v>
      </c>
      <c r="I41" s="284">
        <f t="shared" ca="1" si="0"/>
        <v>1.5001446664079303</v>
      </c>
      <c r="J41" s="284">
        <f t="shared" ca="1" si="0"/>
        <v>1.3623456603711053</v>
      </c>
      <c r="K41" s="284">
        <f t="shared" ca="1" si="0"/>
        <v>1.2302792383360526</v>
      </c>
    </row>
    <row r="43" spans="1:12" x14ac:dyDescent="0.3">
      <c r="A43" t="s">
        <v>180</v>
      </c>
      <c r="B43" s="113"/>
      <c r="C43" s="113"/>
      <c r="D43" s="113"/>
      <c r="E43" s="113">
        <f>DCF!B16</f>
        <v>7443.5235225179986</v>
      </c>
      <c r="F43" s="113">
        <f ca="1">DCF!C16</f>
        <v>10297.307515315064</v>
      </c>
      <c r="G43" s="113">
        <f ca="1">DCF!D16</f>
        <v>10290.819055788901</v>
      </c>
      <c r="H43" s="113">
        <f ca="1">DCF!E16</f>
        <v>10994.151377824903</v>
      </c>
      <c r="I43" s="113">
        <f ca="1">DCF!F16</f>
        <v>11730.665905420727</v>
      </c>
      <c r="J43" s="113">
        <f ca="1">DCF!G16</f>
        <v>12503.300432955053</v>
      </c>
      <c r="K43" s="113">
        <f ca="1">DCF!H16</f>
        <v>13315.069601954474</v>
      </c>
    </row>
    <row r="49" spans="1:6" x14ac:dyDescent="0.3">
      <c r="A49" s="285" t="s">
        <v>268</v>
      </c>
      <c r="B49" s="285"/>
    </row>
    <row r="51" spans="1:6" x14ac:dyDescent="0.3">
      <c r="B51" t="s">
        <v>269</v>
      </c>
      <c r="C51" t="s">
        <v>270</v>
      </c>
      <c r="D51" t="s">
        <v>271</v>
      </c>
      <c r="E51" t="s">
        <v>278</v>
      </c>
      <c r="F51" t="s">
        <v>279</v>
      </c>
    </row>
    <row r="53" spans="1:6" ht="28.8" x14ac:dyDescent="0.3">
      <c r="B53" s="286" t="s">
        <v>272</v>
      </c>
      <c r="C53">
        <v>127</v>
      </c>
      <c r="D53">
        <v>163</v>
      </c>
      <c r="E53">
        <f>C53</f>
        <v>127</v>
      </c>
      <c r="F53">
        <f>D53-C53</f>
        <v>36</v>
      </c>
    </row>
    <row r="54" spans="1:6" ht="28.8" x14ac:dyDescent="0.3">
      <c r="B54" s="286" t="s">
        <v>273</v>
      </c>
      <c r="C54">
        <v>145</v>
      </c>
      <c r="D54">
        <v>165</v>
      </c>
      <c r="E54">
        <f t="shared" ref="E54:E57" si="1">C54</f>
        <v>145</v>
      </c>
      <c r="F54">
        <f t="shared" ref="F54:F57" si="2">D54-C54</f>
        <v>20</v>
      </c>
    </row>
    <row r="55" spans="1:6" ht="28.8" x14ac:dyDescent="0.3">
      <c r="B55" s="286" t="s">
        <v>274</v>
      </c>
      <c r="C55">
        <v>115</v>
      </c>
      <c r="D55">
        <v>135</v>
      </c>
      <c r="E55">
        <f t="shared" si="1"/>
        <v>115</v>
      </c>
      <c r="F55">
        <f t="shared" si="2"/>
        <v>20</v>
      </c>
    </row>
    <row r="56" spans="1:6" ht="28.8" x14ac:dyDescent="0.3">
      <c r="B56" s="286" t="s">
        <v>275</v>
      </c>
      <c r="C56">
        <v>140</v>
      </c>
      <c r="D56">
        <v>165</v>
      </c>
      <c r="E56">
        <f t="shared" si="1"/>
        <v>140</v>
      </c>
      <c r="F56">
        <f t="shared" si="2"/>
        <v>25</v>
      </c>
    </row>
    <row r="57" spans="1:6" ht="28.8" x14ac:dyDescent="0.3">
      <c r="B57" s="286" t="s">
        <v>276</v>
      </c>
      <c r="C57">
        <v>175</v>
      </c>
      <c r="D57">
        <v>195</v>
      </c>
      <c r="E57">
        <f t="shared" si="1"/>
        <v>175</v>
      </c>
      <c r="F57">
        <f t="shared" si="2"/>
        <v>20</v>
      </c>
    </row>
    <row r="58" spans="1:6" x14ac:dyDescent="0.3">
      <c r="B58" s="286"/>
      <c r="E58" t="s">
        <v>94</v>
      </c>
    </row>
    <row r="59" spans="1:6" ht="28.8" x14ac:dyDescent="0.3">
      <c r="B59" s="286" t="s">
        <v>277</v>
      </c>
      <c r="C59">
        <v>147</v>
      </c>
      <c r="D59">
        <v>147</v>
      </c>
      <c r="E59" t="s">
        <v>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XFD49"/>
  <sheetViews>
    <sheetView showGridLines="0" zoomScaleSheetLayoutView="85" workbookViewId="0">
      <pane xSplit="2" ySplit="5" topLeftCell="C19" activePane="bottomRight" state="frozen"/>
      <selection activeCell="C19" activeCellId="1" sqref="C4:L4 C19:L19"/>
      <selection pane="topRight" activeCell="C19" activeCellId="1" sqref="C4:L4 C19:L19"/>
      <selection pane="bottomLeft" activeCell="C19" activeCellId="1" sqref="C4:L4 C19:L19"/>
      <selection pane="bottomRight" activeCell="C19" activeCellId="1" sqref="C4:L4 C19:L19"/>
    </sheetView>
  </sheetViews>
  <sheetFormatPr defaultColWidth="8.77734375" defaultRowHeight="13.2" x14ac:dyDescent="0.25"/>
  <cols>
    <col min="1" max="1" width="2.6640625" style="2" customWidth="1"/>
    <col min="2" max="2" width="42.33203125" style="2" customWidth="1"/>
    <col min="3" max="3" width="13.33203125" style="6" customWidth="1"/>
    <col min="4" max="4" width="14" style="6" customWidth="1"/>
    <col min="5" max="5" width="14.44140625" style="6" customWidth="1"/>
    <col min="6" max="6" width="12.6640625" style="6" customWidth="1"/>
    <col min="7" max="7" width="13.21875" style="6" customWidth="1"/>
    <col min="8" max="8" width="13.6640625" style="6" customWidth="1"/>
    <col min="9" max="9" width="12.5546875" style="6" customWidth="1"/>
    <col min="10" max="11" width="13.5546875" style="6" customWidth="1"/>
    <col min="12" max="12" width="14.109375" style="6" customWidth="1"/>
    <col min="13" max="16" width="9.33203125" style="6" customWidth="1"/>
    <col min="17" max="26" width="9.33203125" style="6" bestFit="1" customWidth="1"/>
    <col min="27" max="16384" width="8.77734375" style="6"/>
  </cols>
  <sheetData>
    <row r="1" spans="1:26 16384:16384" s="2" customFormat="1" x14ac:dyDescent="0.25"/>
    <row r="2" spans="1:26 16384:16384" s="2" customFormat="1" x14ac:dyDescent="0.25">
      <c r="B2" s="72" t="s">
        <v>156</v>
      </c>
      <c r="F2" s="1"/>
      <c r="M2" s="64" t="s">
        <v>71</v>
      </c>
      <c r="N2" s="64"/>
      <c r="O2" s="64"/>
    </row>
    <row r="3" spans="1:26 16384:16384" s="2" customFormat="1" x14ac:dyDescent="0.25">
      <c r="B3" s="5"/>
    </row>
    <row r="4" spans="1:26 16384:16384" s="66" customFormat="1" x14ac:dyDescent="0.25">
      <c r="B4" s="214" t="s">
        <v>0</v>
      </c>
      <c r="C4" s="212" t="s">
        <v>63</v>
      </c>
      <c r="D4" s="212" t="s">
        <v>64</v>
      </c>
      <c r="E4" s="212" t="s">
        <v>155</v>
      </c>
      <c r="F4" s="213" t="s">
        <v>65</v>
      </c>
      <c r="G4" s="79" t="s">
        <v>72</v>
      </c>
      <c r="H4" s="79" t="s">
        <v>66</v>
      </c>
      <c r="I4" s="79" t="s">
        <v>67</v>
      </c>
      <c r="J4" s="79" t="s">
        <v>68</v>
      </c>
      <c r="K4" s="79" t="s">
        <v>69</v>
      </c>
      <c r="L4" s="79" t="s">
        <v>70</v>
      </c>
      <c r="M4" s="71"/>
      <c r="N4" s="71"/>
      <c r="O4" s="71"/>
      <c r="P4" s="71"/>
      <c r="Q4" s="68"/>
      <c r="R4" s="69"/>
      <c r="S4" s="69"/>
      <c r="T4" s="69"/>
      <c r="U4" s="69"/>
      <c r="V4" s="69"/>
      <c r="W4" s="69"/>
      <c r="X4" s="69"/>
      <c r="Y4" s="69"/>
      <c r="Z4" s="69"/>
    </row>
    <row r="5" spans="1:26 16384:16384" s="2" customFormat="1" ht="4.95" customHeight="1" x14ac:dyDescent="0.25">
      <c r="B5" s="5"/>
      <c r="C5" s="3"/>
      <c r="D5" s="3"/>
      <c r="E5" s="3"/>
      <c r="F5" s="28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 16384:16384" x14ac:dyDescent="0.25">
      <c r="B6" s="2" t="s">
        <v>43</v>
      </c>
      <c r="C6" s="2">
        <v>79474</v>
      </c>
      <c r="D6" s="2">
        <v>86392</v>
      </c>
      <c r="E6" s="2">
        <v>91471</v>
      </c>
      <c r="F6" s="149">
        <v>91854</v>
      </c>
      <c r="G6" s="2">
        <f>F6*(1+G7)</f>
        <v>97365.24</v>
      </c>
      <c r="H6" s="2">
        <f t="shared" ref="H6:L6" si="0">G6*(1+H7)</f>
        <v>103207.15440000001</v>
      </c>
      <c r="I6" s="2">
        <f t="shared" si="0"/>
        <v>109399.58366400002</v>
      </c>
      <c r="J6" s="2">
        <f t="shared" si="0"/>
        <v>115963.55868384003</v>
      </c>
      <c r="K6" s="2">
        <f t="shared" si="0"/>
        <v>122921.37220487044</v>
      </c>
      <c r="L6" s="2">
        <f t="shared" si="0"/>
        <v>130296.65453716267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 16384:16384" s="7" customFormat="1" x14ac:dyDescent="0.25">
      <c r="A7" s="2"/>
      <c r="B7" s="2" t="s">
        <v>1</v>
      </c>
      <c r="C7" s="10"/>
      <c r="D7" s="10">
        <f>(D6-C6)/C6</f>
        <v>8.7047336235750061E-2</v>
      </c>
      <c r="E7" s="10">
        <f t="shared" ref="E7:F7" si="1">(E6-D6)/D6</f>
        <v>5.8790165756088524E-2</v>
      </c>
      <c r="F7" s="10">
        <f t="shared" si="1"/>
        <v>4.1871194148965247E-3</v>
      </c>
      <c r="G7" s="250">
        <v>0.06</v>
      </c>
      <c r="H7" s="250">
        <v>0.06</v>
      </c>
      <c r="I7" s="250">
        <v>0.06</v>
      </c>
      <c r="J7" s="250">
        <v>0.06</v>
      </c>
      <c r="K7" s="250">
        <v>0.06</v>
      </c>
      <c r="L7" s="250">
        <v>0.06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XFD7" s="8">
        <v>0.06</v>
      </c>
    </row>
    <row r="8" spans="1:26 16384:16384" x14ac:dyDescent="0.25">
      <c r="F8" s="29"/>
    </row>
    <row r="9" spans="1:26 16384:16384" s="2" customFormat="1" x14ac:dyDescent="0.25">
      <c r="B9" s="2" t="s">
        <v>2</v>
      </c>
      <c r="C9" s="2">
        <v>-37075</v>
      </c>
      <c r="D9" s="2">
        <v>-40576</v>
      </c>
      <c r="E9" s="2">
        <v>-41881</v>
      </c>
      <c r="F9" s="149">
        <v>-41744</v>
      </c>
      <c r="G9" s="2">
        <f t="shared" ref="G9:L9" ca="1" si="2">G6*G10</f>
        <v>-43921.100000000006</v>
      </c>
      <c r="H9" s="2">
        <f t="shared" ca="1" si="2"/>
        <v>-46556.366000000009</v>
      </c>
      <c r="I9" s="2">
        <f t="shared" ca="1" si="2"/>
        <v>-49349.747960000001</v>
      </c>
      <c r="J9" s="2">
        <f t="shared" ca="1" si="2"/>
        <v>-52310.732837600008</v>
      </c>
      <c r="K9" s="2">
        <f t="shared" ca="1" si="2"/>
        <v>-55449.376807856017</v>
      </c>
      <c r="L9" s="2">
        <f t="shared" ca="1" si="2"/>
        <v>-58776.339416327377</v>
      </c>
    </row>
    <row r="10" spans="1:26 16384:16384" s="7" customFormat="1" x14ac:dyDescent="0.25">
      <c r="A10" s="2"/>
      <c r="B10" s="2" t="s">
        <v>157</v>
      </c>
      <c r="C10" s="10">
        <f>C9/C6</f>
        <v>-0.46650476885522307</v>
      </c>
      <c r="D10" s="10">
        <f t="shared" ref="D10:F10" si="3">D9/D6</f>
        <v>-0.4696731178812853</v>
      </c>
      <c r="E10" s="10">
        <f t="shared" si="3"/>
        <v>-0.45786096139760141</v>
      </c>
      <c r="F10" s="10">
        <f t="shared" si="3"/>
        <v>-0.45446033923400181</v>
      </c>
      <c r="G10" s="10">
        <f t="shared" ref="G10" ca="1" si="4">G9/G6</f>
        <v>-0.45109630500577008</v>
      </c>
      <c r="H10" s="10">
        <f t="shared" ref="H10" ca="1" si="5">H9/H6</f>
        <v>-0.45109630500577003</v>
      </c>
      <c r="I10" s="10">
        <f t="shared" ref="I10" ca="1" si="6">I9/I6</f>
        <v>-0.45109630500576997</v>
      </c>
      <c r="J10" s="10">
        <f t="shared" ref="J10" ca="1" si="7">J9/J6</f>
        <v>-0.45109630500576997</v>
      </c>
      <c r="K10" s="10">
        <f t="shared" ref="K10" ca="1" si="8">K9/K6</f>
        <v>-0.45109630500577003</v>
      </c>
      <c r="L10" s="10">
        <f t="shared" ref="L10" ca="1" si="9">L9/L6</f>
        <v>-0.45109630500576997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 16384:16384" x14ac:dyDescent="0.25">
      <c r="F11" s="29"/>
    </row>
    <row r="12" spans="1:26 16384:16384" s="2" customFormat="1" x14ac:dyDescent="0.25">
      <c r="B12" s="2" t="s">
        <v>4</v>
      </c>
      <c r="C12" s="2">
        <f>C6+C9</f>
        <v>42399</v>
      </c>
      <c r="D12" s="2">
        <f>D6+D9</f>
        <v>45816</v>
      </c>
      <c r="E12" s="2">
        <f>E6+E9</f>
        <v>49590</v>
      </c>
      <c r="F12" s="149">
        <f>F6+F9</f>
        <v>50110</v>
      </c>
      <c r="G12" s="149">
        <f t="shared" ref="G12:L12" ca="1" si="10">G6+G9</f>
        <v>53444.14</v>
      </c>
      <c r="H12" s="149">
        <f t="shared" ca="1" si="10"/>
        <v>56650.788400000005</v>
      </c>
      <c r="I12" s="149">
        <f t="shared" ca="1" si="10"/>
        <v>60049.835704000019</v>
      </c>
      <c r="J12" s="149">
        <f t="shared" ca="1" si="10"/>
        <v>63652.825846240026</v>
      </c>
      <c r="K12" s="149">
        <f t="shared" ca="1" si="10"/>
        <v>67471.995397014427</v>
      </c>
      <c r="L12" s="149">
        <f t="shared" ca="1" si="10"/>
        <v>71520.315120835294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 16384:16384" x14ac:dyDescent="0.25">
      <c r="C13" s="10"/>
      <c r="D13" s="10"/>
      <c r="E13" s="10"/>
      <c r="F13" s="175"/>
      <c r="G13" s="10"/>
      <c r="H13" s="10"/>
      <c r="I13" s="10"/>
      <c r="J13" s="10"/>
      <c r="K13" s="10"/>
      <c r="L13" s="1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 16384:16384" s="2" customFormat="1" x14ac:dyDescent="0.25">
      <c r="B14" s="2" t="s">
        <v>160</v>
      </c>
      <c r="C14" s="2">
        <v>-31237</v>
      </c>
      <c r="D14" s="2">
        <v>-34459</v>
      </c>
      <c r="E14" s="2">
        <v>-36677</v>
      </c>
      <c r="F14" s="149">
        <v>-37190</v>
      </c>
      <c r="G14" s="2">
        <f t="shared" ref="G14:L14" si="11">G6*G15</f>
        <v>-38946.096000000005</v>
      </c>
      <c r="H14" s="2">
        <f t="shared" si="11"/>
        <v>-41282.861760000007</v>
      </c>
      <c r="I14" s="2">
        <f t="shared" si="11"/>
        <v>-43759.833465600008</v>
      </c>
      <c r="J14" s="2">
        <f t="shared" si="11"/>
        <v>-46385.423473536015</v>
      </c>
      <c r="K14" s="2">
        <f t="shared" si="11"/>
        <v>-49168.548881948176</v>
      </c>
      <c r="L14" s="2">
        <f t="shared" si="11"/>
        <v>-52118.661814865074</v>
      </c>
    </row>
    <row r="15" spans="1:26 16384:16384" x14ac:dyDescent="0.25">
      <c r="B15" s="2" t="s">
        <v>158</v>
      </c>
      <c r="C15" s="176">
        <f>C14/C6</f>
        <v>-0.39304678259556586</v>
      </c>
      <c r="D15" s="176">
        <f>D14/D6</f>
        <v>-0.39886795073617926</v>
      </c>
      <c r="E15" s="176">
        <f>E14/E6</f>
        <v>-0.40096861300302827</v>
      </c>
      <c r="F15" s="176">
        <f t="shared" ref="F15" si="12">F14/F6</f>
        <v>-0.40488166002569292</v>
      </c>
      <c r="G15" s="176">
        <v>-0.4</v>
      </c>
      <c r="H15" s="176">
        <v>-0.4</v>
      </c>
      <c r="I15" s="176">
        <v>-0.4</v>
      </c>
      <c r="J15" s="176">
        <v>-0.4</v>
      </c>
      <c r="K15" s="176">
        <v>-0.4</v>
      </c>
      <c r="L15" s="176">
        <v>-0.4</v>
      </c>
    </row>
    <row r="16" spans="1:26 16384:16384" x14ac:dyDescent="0.25">
      <c r="B16" s="2" t="s">
        <v>91</v>
      </c>
      <c r="C16" s="1">
        <v>0</v>
      </c>
      <c r="D16" s="1">
        <v>155</v>
      </c>
      <c r="E16" s="1">
        <v>-927</v>
      </c>
      <c r="F16" s="177">
        <v>-33</v>
      </c>
      <c r="G16" s="178">
        <v>0</v>
      </c>
      <c r="H16" s="178">
        <v>0</v>
      </c>
      <c r="I16" s="178">
        <v>0</v>
      </c>
      <c r="J16" s="178">
        <v>0</v>
      </c>
      <c r="K16" s="178">
        <v>0</v>
      </c>
      <c r="L16" s="178">
        <v>0</v>
      </c>
      <c r="M16" s="7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B17" s="2" t="s">
        <v>90</v>
      </c>
      <c r="C17" s="6">
        <v>522</v>
      </c>
      <c r="D17" s="6">
        <v>132</v>
      </c>
      <c r="E17" s="6">
        <v>250</v>
      </c>
      <c r="F17" s="29">
        <v>-22</v>
      </c>
      <c r="G17" s="6">
        <v>0</v>
      </c>
      <c r="H17" s="6">
        <f>H6*H18</f>
        <v>0</v>
      </c>
      <c r="I17" s="6">
        <f>I6*I18</f>
        <v>0</v>
      </c>
      <c r="J17" s="6">
        <f>J6*J18</f>
        <v>0</v>
      </c>
      <c r="K17" s="6">
        <f>K6*K18</f>
        <v>0</v>
      </c>
      <c r="L17" s="6">
        <f>L6*L18</f>
        <v>0</v>
      </c>
    </row>
    <row r="18" spans="1:26" x14ac:dyDescent="0.25">
      <c r="B18" s="2" t="s">
        <v>159</v>
      </c>
      <c r="C18" s="179">
        <f>C17/C6</f>
        <v>6.5681858217781913E-3</v>
      </c>
      <c r="D18" s="179">
        <f t="shared" ref="D18:F18" si="13">D17/D6</f>
        <v>1.5279192517825724E-3</v>
      </c>
      <c r="E18" s="179">
        <f t="shared" si="13"/>
        <v>2.7331066676870267E-3</v>
      </c>
      <c r="F18" s="179">
        <f t="shared" si="13"/>
        <v>-2.395105275763712E-4</v>
      </c>
      <c r="G18" s="179">
        <v>0</v>
      </c>
      <c r="H18" s="179">
        <v>0</v>
      </c>
      <c r="I18" s="179">
        <v>0</v>
      </c>
      <c r="J18" s="179">
        <v>0</v>
      </c>
      <c r="K18" s="179">
        <v>0</v>
      </c>
      <c r="L18" s="179">
        <v>0</v>
      </c>
    </row>
    <row r="19" spans="1:26" x14ac:dyDescent="0.25">
      <c r="C19" s="10"/>
      <c r="D19" s="10"/>
      <c r="E19" s="10"/>
      <c r="F19" s="175"/>
      <c r="G19" s="10"/>
      <c r="H19" s="10"/>
      <c r="I19" s="10"/>
      <c r="J19" s="10"/>
      <c r="K19" s="10"/>
      <c r="L19" s="1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s="2" customFormat="1" x14ac:dyDescent="0.25">
      <c r="B20" s="2" t="s">
        <v>5</v>
      </c>
      <c r="C20" s="2">
        <f>C6+C9+C14+C17+C16</f>
        <v>11684</v>
      </c>
      <c r="D20" s="2">
        <f t="shared" ref="D20:F20" si="14">D6+D9+D14+D17+D16</f>
        <v>11644</v>
      </c>
      <c r="E20" s="2">
        <f t="shared" si="14"/>
        <v>12236</v>
      </c>
      <c r="F20" s="2">
        <f t="shared" si="14"/>
        <v>12865</v>
      </c>
      <c r="G20" s="2">
        <f t="shared" ref="G20:L20" ca="1" si="15">G6+G9+G14+G17</f>
        <v>14498.043999999994</v>
      </c>
      <c r="H20" s="2">
        <f t="shared" ca="1" si="15"/>
        <v>15367.926639999998</v>
      </c>
      <c r="I20" s="2">
        <f t="shared" ca="1" si="15"/>
        <v>16290.002238400011</v>
      </c>
      <c r="J20" s="2">
        <f t="shared" ca="1" si="15"/>
        <v>17267.402372704011</v>
      </c>
      <c r="K20" s="2">
        <f t="shared" ca="1" si="15"/>
        <v>18303.446515066251</v>
      </c>
      <c r="L20" s="2">
        <f t="shared" ca="1" si="15"/>
        <v>19401.65330597022</v>
      </c>
    </row>
    <row r="21" spans="1:26" x14ac:dyDescent="0.25">
      <c r="B21" s="2" t="s">
        <v>6</v>
      </c>
      <c r="C21" s="80">
        <f>C20/C6</f>
        <v>0.14701663437098925</v>
      </c>
      <c r="D21" s="80">
        <f t="shared" ref="D21:F21" si="16">D20/D6</f>
        <v>0.13478099824057782</v>
      </c>
      <c r="E21" s="80">
        <f t="shared" si="16"/>
        <v>0.13376917274327382</v>
      </c>
      <c r="F21" s="80">
        <f t="shared" si="16"/>
        <v>0.14005922442136434</v>
      </c>
      <c r="G21" s="80">
        <f t="shared" ref="G21" ca="1" si="17">G20/G6</f>
        <v>0.1489036949942299</v>
      </c>
      <c r="H21" s="80">
        <f ca="1">H20/H6</f>
        <v>0.14890369499422992</v>
      </c>
      <c r="I21" s="80">
        <f t="shared" ref="I21" ca="1" si="18">I20/I6</f>
        <v>0.14890369499423006</v>
      </c>
      <c r="J21" s="80">
        <f t="shared" ref="J21" ca="1" si="19">J20/J6</f>
        <v>0.14890369499423003</v>
      </c>
      <c r="K21" s="80">
        <f t="shared" ref="K21" ca="1" si="20">K20/K6</f>
        <v>0.14890369499423001</v>
      </c>
      <c r="L21" s="80">
        <f t="shared" ref="L21" ca="1" si="21">L20/L6</f>
        <v>0.14890369499422995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s="7" customFormat="1" x14ac:dyDescent="0.25">
      <c r="A22" s="2"/>
      <c r="B22" s="2"/>
      <c r="C22" s="10"/>
      <c r="D22" s="10"/>
      <c r="E22" s="10"/>
      <c r="F22" s="175"/>
      <c r="G22" s="2"/>
      <c r="H22" s="2"/>
      <c r="I22" s="2"/>
      <c r="J22" s="2"/>
      <c r="K22" s="2"/>
      <c r="L22" s="2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B23" s="2" t="s">
        <v>12</v>
      </c>
      <c r="C23" s="6">
        <v>-1863</v>
      </c>
      <c r="D23" s="6">
        <v>-939</v>
      </c>
      <c r="E23" s="6">
        <v>-819</v>
      </c>
      <c r="F23" s="29">
        <v>-919</v>
      </c>
      <c r="G23" s="2">
        <f>-'Debt Schedule'!G29</f>
        <v>-1302.8400000000001</v>
      </c>
      <c r="H23" s="2">
        <f>-'Debt Schedule'!H29</f>
        <v>-1302.8400000000001</v>
      </c>
      <c r="I23" s="2">
        <f>-'Debt Schedule'!I29</f>
        <v>-1302.8400000000001</v>
      </c>
      <c r="J23" s="2">
        <f>-'Debt Schedule'!J29</f>
        <v>-1302.8400000000001</v>
      </c>
      <c r="K23" s="2">
        <f>-'Debt Schedule'!K29</f>
        <v>-1302.8400000000001</v>
      </c>
      <c r="L23" s="2">
        <f>-'Debt Schedule'!L29</f>
        <v>-1302.8400000000001</v>
      </c>
    </row>
    <row r="24" spans="1:26" x14ac:dyDescent="0.25">
      <c r="F24" s="29"/>
      <c r="G24" s="2"/>
      <c r="H24" s="2"/>
      <c r="I24" s="2"/>
      <c r="J24" s="2"/>
      <c r="K24" s="2"/>
      <c r="L24" s="2"/>
    </row>
    <row r="25" spans="1:26" x14ac:dyDescent="0.25">
      <c r="B25" s="2" t="s">
        <v>14</v>
      </c>
      <c r="C25" s="1">
        <f>C20+C23</f>
        <v>9821</v>
      </c>
      <c r="D25" s="1">
        <f t="shared" ref="D25:L25" si="22">D20+D23</f>
        <v>10705</v>
      </c>
      <c r="E25" s="1">
        <f t="shared" si="22"/>
        <v>11417</v>
      </c>
      <c r="F25" s="1">
        <f t="shared" si="22"/>
        <v>11946</v>
      </c>
      <c r="G25" s="2">
        <f t="shared" ca="1" si="22"/>
        <v>13195.203999999994</v>
      </c>
      <c r="H25" s="2">
        <f t="shared" ca="1" si="22"/>
        <v>14065.086639999998</v>
      </c>
      <c r="I25" s="2">
        <f t="shared" ca="1" si="22"/>
        <v>14987.162238400011</v>
      </c>
      <c r="J25" s="2">
        <f t="shared" ca="1" si="22"/>
        <v>15964.562372704011</v>
      </c>
      <c r="K25" s="2">
        <f t="shared" ca="1" si="22"/>
        <v>17000.606515066251</v>
      </c>
      <c r="L25" s="2">
        <f t="shared" ca="1" si="22"/>
        <v>18098.81330597022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s="139" customFormat="1" x14ac:dyDescent="0.25">
      <c r="A26" s="80"/>
      <c r="B26" s="80" t="s">
        <v>6</v>
      </c>
      <c r="C26" s="80">
        <f>C25/C6</f>
        <v>0.12357500566222916</v>
      </c>
      <c r="D26" s="80">
        <f t="shared" ref="D26:F26" si="23">D25/D6</f>
        <v>0.12391193629039726</v>
      </c>
      <c r="E26" s="80">
        <f t="shared" si="23"/>
        <v>0.12481551529993112</v>
      </c>
      <c r="F26" s="80">
        <f t="shared" si="23"/>
        <v>0.13005421647396956</v>
      </c>
      <c r="G26" s="80">
        <f t="shared" ref="G26" ca="1" si="24">G25/G6</f>
        <v>0.13552273891585942</v>
      </c>
      <c r="H26" s="80">
        <f t="shared" ref="H26" ca="1" si="25">H25/H6</f>
        <v>0.13628015152406911</v>
      </c>
      <c r="I26" s="80">
        <f t="shared" ref="I26" ca="1" si="26">I25/I6</f>
        <v>0.13699469172049342</v>
      </c>
      <c r="J26" s="80">
        <f t="shared" ref="J26" ca="1" si="27">J25/J6</f>
        <v>0.13766878624542189</v>
      </c>
      <c r="K26" s="80">
        <f t="shared" ref="K26" ca="1" si="28">K25/K6</f>
        <v>0.13830472447648648</v>
      </c>
      <c r="L26" s="80">
        <f t="shared" ref="L26" ca="1" si="29">L25/L6</f>
        <v>0.13890466620390587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26" x14ac:dyDescent="0.25">
      <c r="F27" s="29"/>
      <c r="G27" s="2"/>
      <c r="H27" s="2"/>
      <c r="I27" s="2"/>
      <c r="J27" s="2"/>
      <c r="K27" s="2"/>
      <c r="L27" s="2"/>
    </row>
    <row r="28" spans="1:26" x14ac:dyDescent="0.25">
      <c r="B28" s="2" t="s">
        <v>15</v>
      </c>
      <c r="C28" s="6">
        <v>-2142</v>
      </c>
      <c r="D28" s="6">
        <v>-1727</v>
      </c>
      <c r="E28" s="6">
        <v>-2262</v>
      </c>
      <c r="F28" s="29">
        <v>-2320</v>
      </c>
      <c r="G28" s="2">
        <f ca="1">G25*G29</f>
        <v>-2507.0887599999987</v>
      </c>
      <c r="H28" s="2">
        <f t="shared" ref="H28:L28" ca="1" si="30">H25*H29</f>
        <v>-2672.3664615999996</v>
      </c>
      <c r="I28" s="2">
        <f t="shared" ca="1" si="30"/>
        <v>-2847.5608252960023</v>
      </c>
      <c r="J28" s="2">
        <f t="shared" ca="1" si="30"/>
        <v>-3033.2668508137622</v>
      </c>
      <c r="K28" s="2">
        <f t="shared" ca="1" si="30"/>
        <v>-3230.1152378625875</v>
      </c>
      <c r="L28" s="2">
        <f t="shared" ca="1" si="30"/>
        <v>-3438.7745281343418</v>
      </c>
    </row>
    <row r="29" spans="1:26" s="139" customFormat="1" x14ac:dyDescent="0.25">
      <c r="A29" s="80"/>
      <c r="B29" s="80" t="s">
        <v>161</v>
      </c>
      <c r="C29" s="80">
        <f>C28/C25</f>
        <v>-0.218104062722737</v>
      </c>
      <c r="D29" s="80">
        <f t="shared" ref="D29:F29" si="31">D28/D25</f>
        <v>-0.16132648295189164</v>
      </c>
      <c r="E29" s="80">
        <f t="shared" si="31"/>
        <v>-0.19812560217219935</v>
      </c>
      <c r="F29" s="80">
        <f t="shared" si="31"/>
        <v>-0.19420726603047045</v>
      </c>
      <c r="G29" s="180">
        <v>-0.19</v>
      </c>
      <c r="H29" s="180">
        <v>-0.19</v>
      </c>
      <c r="I29" s="180">
        <v>-0.19</v>
      </c>
      <c r="J29" s="180">
        <v>-0.19</v>
      </c>
      <c r="K29" s="180">
        <v>-0.19</v>
      </c>
      <c r="L29" s="180">
        <v>-0.19</v>
      </c>
    </row>
    <row r="30" spans="1:26" s="7" customFormat="1" x14ac:dyDescent="0.25">
      <c r="A30" s="2"/>
      <c r="B30" s="2"/>
      <c r="C30" s="1"/>
      <c r="D30" s="1"/>
      <c r="E30" s="169"/>
      <c r="F30" s="1"/>
      <c r="G30" s="2"/>
      <c r="H30" s="2"/>
      <c r="I30" s="2"/>
      <c r="J30" s="2"/>
      <c r="K30" s="2"/>
      <c r="L30" s="2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B31" s="181" t="s">
        <v>16</v>
      </c>
      <c r="C31" s="6">
        <f>C25+C28+C30</f>
        <v>7679</v>
      </c>
      <c r="D31" s="6">
        <f>D25+D28+D30</f>
        <v>8978</v>
      </c>
      <c r="E31" s="6">
        <f>E25+E28+E30</f>
        <v>9155</v>
      </c>
      <c r="F31" s="6">
        <f>F25+F28+F30</f>
        <v>9626</v>
      </c>
      <c r="G31" s="2">
        <f t="shared" ref="G31:L31" ca="1" si="32">G25+G28+G30</f>
        <v>10688.115239999996</v>
      </c>
      <c r="H31" s="2">
        <f t="shared" ca="1" si="32"/>
        <v>11392.720178399999</v>
      </c>
      <c r="I31" s="2">
        <f t="shared" ca="1" si="32"/>
        <v>12139.601413104008</v>
      </c>
      <c r="J31" s="2">
        <f t="shared" ca="1" si="32"/>
        <v>12931.29552189025</v>
      </c>
      <c r="K31" s="2">
        <f t="shared" ca="1" si="32"/>
        <v>13770.491277203662</v>
      </c>
      <c r="L31" s="2">
        <f t="shared" ca="1" si="32"/>
        <v>14660.038777835878</v>
      </c>
    </row>
    <row r="32" spans="1:26" s="80" customFormat="1" x14ac:dyDescent="0.25">
      <c r="B32" s="80" t="s">
        <v>157</v>
      </c>
      <c r="C32" s="80">
        <f>C31/C6</f>
        <v>9.6622794876311743E-2</v>
      </c>
      <c r="D32" s="80">
        <f t="shared" ref="D32:F32" si="33">D31/D6</f>
        <v>0.1039216594129086</v>
      </c>
      <c r="E32" s="80">
        <f t="shared" si="33"/>
        <v>0.10008636617069891</v>
      </c>
      <c r="F32" s="80">
        <f t="shared" si="33"/>
        <v>0.10479674265682497</v>
      </c>
      <c r="G32" s="80">
        <f t="shared" ref="G32" ca="1" si="34">G31/G6</f>
        <v>0.10977341852184615</v>
      </c>
      <c r="H32" s="80">
        <f t="shared" ref="H32" ca="1" si="35">H31/H6</f>
        <v>0.11038692273449599</v>
      </c>
      <c r="I32" s="80">
        <f t="shared" ref="I32" ca="1" si="36">I31/I6</f>
        <v>0.11096570029359967</v>
      </c>
      <c r="J32" s="80">
        <f t="shared" ref="J32" ca="1" si="37">J31/J6</f>
        <v>0.11151171685879174</v>
      </c>
      <c r="K32" s="80">
        <f t="shared" ref="K32" ca="1" si="38">K31/K6</f>
        <v>0.11202682682595405</v>
      </c>
      <c r="L32" s="80">
        <f t="shared" ref="L32" ca="1" si="39">L31/L6</f>
        <v>0.11251277962516376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2:26" x14ac:dyDescent="0.25">
      <c r="C33" s="10"/>
      <c r="D33" s="10"/>
      <c r="E33" s="10"/>
      <c r="F33" s="175"/>
      <c r="G33" s="10"/>
      <c r="H33" s="10"/>
      <c r="I33" s="10"/>
      <c r="J33" s="10"/>
      <c r="K33" s="10"/>
      <c r="L33" s="1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2:26" x14ac:dyDescent="0.25">
      <c r="F34" s="29"/>
    </row>
    <row r="35" spans="2:26" s="2" customFormat="1" x14ac:dyDescent="0.25">
      <c r="B35" s="2" t="s">
        <v>136</v>
      </c>
      <c r="C35" s="2">
        <f>'PPE Schedule'!C11</f>
        <v>2710</v>
      </c>
      <c r="D35" s="2">
        <f>'PPE Schedule'!D11</f>
        <v>2763</v>
      </c>
      <c r="E35" s="2">
        <f>'PPE Schedule'!E11</f>
        <v>2948</v>
      </c>
      <c r="F35" s="2">
        <f>'PPE Schedule'!F11</f>
        <v>3160</v>
      </c>
      <c r="G35" s="2">
        <f>'PPE Schedule'!G11</f>
        <v>3247.5405059999998</v>
      </c>
      <c r="H35" s="2">
        <f>'PPE Schedule'!H11</f>
        <v>3538.3517952299999</v>
      </c>
      <c r="I35" s="2">
        <f>'PPE Schedule'!I11</f>
        <v>3836.5360816324496</v>
      </c>
      <c r="J35" s="2">
        <f>'PPE Schedule'!J11</f>
        <v>4143.5936914567392</v>
      </c>
      <c r="K35" s="2">
        <f>'PPE Schedule'!K11</f>
        <v>4461.0038861532184</v>
      </c>
      <c r="L35" s="2">
        <f>'PPE Schedule'!L11</f>
        <v>4790.2352623445358</v>
      </c>
    </row>
    <row r="36" spans="2:26" s="2" customFormat="1" x14ac:dyDescent="0.25">
      <c r="B36" s="2" t="s">
        <v>46</v>
      </c>
      <c r="C36" s="2">
        <f>'PPE Schedule'!C8</f>
        <v>4625</v>
      </c>
      <c r="D36" s="2">
        <f>'PPE Schedule'!D8</f>
        <v>5207</v>
      </c>
      <c r="E36" s="2">
        <f>'PPE Schedule'!E8</f>
        <v>5518</v>
      </c>
      <c r="F36" s="2">
        <f>'PPE Schedule'!F8</f>
        <v>5318</v>
      </c>
      <c r="G36" s="2">
        <f>'PPE Schedule'!G8</f>
        <v>5841.9143999999997</v>
      </c>
      <c r="H36" s="2">
        <f>'PPE Schedule'!H8</f>
        <v>6192.4292640000003</v>
      </c>
      <c r="I36" s="2">
        <f>'PPE Schedule'!I8</f>
        <v>6563.9750198400006</v>
      </c>
      <c r="J36" s="2">
        <f>'PPE Schedule'!J8</f>
        <v>6957.8135210304017</v>
      </c>
      <c r="K36" s="2">
        <f>'PPE Schedule'!K8</f>
        <v>7375.2823322922259</v>
      </c>
      <c r="L36" s="2">
        <f>'PPE Schedule'!L8</f>
        <v>7817.7992722297604</v>
      </c>
    </row>
    <row r="37" spans="2:26" x14ac:dyDescent="0.25">
      <c r="F37" s="29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x14ac:dyDescent="0.25">
      <c r="F38" s="29"/>
    </row>
    <row r="39" spans="2:26" x14ac:dyDescent="0.25">
      <c r="F39" s="29"/>
    </row>
    <row r="40" spans="2:26" x14ac:dyDescent="0.25">
      <c r="B40" s="2" t="s">
        <v>73</v>
      </c>
      <c r="C40" s="6">
        <f t="shared" ref="C40:L40" si="40">C31/C41</f>
        <v>5.5284377249820018</v>
      </c>
      <c r="D40" s="6">
        <f t="shared" si="40"/>
        <v>6.4729632299927902</v>
      </c>
      <c r="E40" s="6">
        <f t="shared" si="40"/>
        <v>6.6196673897324656</v>
      </c>
      <c r="F40" s="6">
        <f t="shared" si="40"/>
        <v>6.9854862119013061</v>
      </c>
      <c r="G40" s="6">
        <f t="shared" ca="1" si="40"/>
        <v>7.756251988388966</v>
      </c>
      <c r="H40" s="6">
        <f t="shared" ca="1" si="40"/>
        <v>8.2675763268505076</v>
      </c>
      <c r="I40" s="6">
        <f t="shared" ca="1" si="40"/>
        <v>8.8095801256197444</v>
      </c>
      <c r="J40" s="6">
        <f t="shared" ca="1" si="40"/>
        <v>9.3841041523151301</v>
      </c>
      <c r="K40" s="6">
        <f t="shared" ca="1" si="40"/>
        <v>9.9930996206122362</v>
      </c>
      <c r="L40" s="6">
        <f t="shared" ca="1" si="40"/>
        <v>10.638634817007169</v>
      </c>
    </row>
    <row r="41" spans="2:26" s="2" customFormat="1" x14ac:dyDescent="0.25">
      <c r="B41" s="2" t="s">
        <v>133</v>
      </c>
      <c r="C41" s="2">
        <v>1389</v>
      </c>
      <c r="D41" s="2">
        <v>1387</v>
      </c>
      <c r="E41" s="2">
        <v>1383</v>
      </c>
      <c r="F41" s="2">
        <v>1378</v>
      </c>
      <c r="G41" s="2">
        <v>1378</v>
      </c>
      <c r="H41" s="2">
        <v>1378</v>
      </c>
      <c r="I41" s="2">
        <v>1378</v>
      </c>
      <c r="J41" s="2">
        <v>1378</v>
      </c>
      <c r="K41" s="2">
        <v>1378</v>
      </c>
      <c r="L41" s="2">
        <v>1378</v>
      </c>
    </row>
    <row r="43" spans="2:26" x14ac:dyDescent="0.25">
      <c r="B43" s="2" t="s">
        <v>132</v>
      </c>
    </row>
    <row r="44" spans="2:26" s="2" customFormat="1" x14ac:dyDescent="0.25">
      <c r="B44" s="2" t="s">
        <v>134</v>
      </c>
      <c r="C44" s="2">
        <f>-'Cash Flow Statement'!C28</f>
        <v>5815</v>
      </c>
      <c r="D44" s="2">
        <f>-'Cash Flow Statement'!D28</f>
        <v>6172</v>
      </c>
      <c r="E44" s="2">
        <f>-'Cash Flow Statement'!E28</f>
        <v>6682</v>
      </c>
      <c r="F44" s="2">
        <f>-'Cash Flow Statement'!F28</f>
        <v>7229</v>
      </c>
      <c r="G44" s="2">
        <f t="shared" ref="G44:L44" ca="1" si="41">G31*G45</f>
        <v>8026.6346426303735</v>
      </c>
      <c r="H44" s="2">
        <f t="shared" ca="1" si="41"/>
        <v>8555.7837284078105</v>
      </c>
      <c r="I44" s="2">
        <f t="shared" ca="1" si="41"/>
        <v>9116.6817593319047</v>
      </c>
      <c r="J44" s="2">
        <f t="shared" ca="1" si="41"/>
        <v>9711.2336721114443</v>
      </c>
      <c r="K44" s="2">
        <f t="shared" ca="1" si="41"/>
        <v>10341.458699657725</v>
      </c>
      <c r="L44" s="2">
        <f t="shared" ca="1" si="41"/>
        <v>11009.497228856801</v>
      </c>
    </row>
    <row r="45" spans="2:26" x14ac:dyDescent="0.25">
      <c r="B45" s="2" t="s">
        <v>135</v>
      </c>
      <c r="C45" s="179">
        <f t="shared" ref="C45:L45" si="42">C44/C31</f>
        <v>0.75726005990363332</v>
      </c>
      <c r="D45" s="179">
        <f t="shared" si="42"/>
        <v>0.6874582312319002</v>
      </c>
      <c r="E45" s="179">
        <f t="shared" si="42"/>
        <v>0.72987438558164941</v>
      </c>
      <c r="F45" s="179">
        <f t="shared" si="42"/>
        <v>0.7509869104508623</v>
      </c>
      <c r="G45" s="179">
        <f t="shared" ca="1" si="42"/>
        <v>0.7509869104508623</v>
      </c>
      <c r="H45" s="179">
        <f t="shared" ca="1" si="42"/>
        <v>0.75098691045086219</v>
      </c>
      <c r="I45" s="179">
        <f t="shared" ca="1" si="42"/>
        <v>0.75098691045086252</v>
      </c>
      <c r="J45" s="179">
        <f t="shared" ca="1" si="42"/>
        <v>0.75098691045086341</v>
      </c>
      <c r="K45" s="179">
        <f t="shared" ca="1" si="42"/>
        <v>0.75098691045086219</v>
      </c>
      <c r="L45" s="179">
        <f t="shared" ca="1" si="42"/>
        <v>0.75098691045086219</v>
      </c>
      <c r="M45" s="61"/>
      <c r="N45" s="61"/>
      <c r="O45" s="61"/>
      <c r="P45" s="61"/>
    </row>
    <row r="46" spans="2:26" x14ac:dyDescent="0.25"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62"/>
      <c r="N46" s="62"/>
      <c r="O46" s="62"/>
      <c r="P46" s="62"/>
    </row>
    <row r="48" spans="2:26" x14ac:dyDescent="0.25"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</row>
    <row r="49" spans="3:16" x14ac:dyDescent="0.25"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</row>
  </sheetData>
  <phoneticPr fontId="6" type="noConversion"/>
  <pageMargins left="0.75" right="0.75" top="1" bottom="1" header="0.3" footer="0.3"/>
  <pageSetup paperSize="9" scale="47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Q108"/>
  <sheetViews>
    <sheetView showGridLines="0" topLeftCell="A11" zoomScaleSheetLayoutView="100" workbookViewId="0">
      <selection activeCell="O22" sqref="O22"/>
    </sheetView>
  </sheetViews>
  <sheetFormatPr defaultColWidth="8.77734375" defaultRowHeight="13.2" x14ac:dyDescent="0.25"/>
  <cols>
    <col min="1" max="1" width="2.6640625" style="2" customWidth="1"/>
    <col min="2" max="2" width="41.21875" style="2" customWidth="1"/>
    <col min="3" max="3" width="14.109375" style="6" customWidth="1"/>
    <col min="4" max="4" width="13.44140625" style="6" customWidth="1"/>
    <col min="5" max="5" width="13.88671875" style="6" customWidth="1"/>
    <col min="6" max="6" width="13.5546875" style="6" customWidth="1"/>
    <col min="7" max="7" width="12.21875" style="6" customWidth="1"/>
    <col min="8" max="9" width="9.44140625" style="6" bestFit="1" customWidth="1"/>
    <col min="10" max="11" width="10.44140625" style="6" bestFit="1" customWidth="1"/>
    <col min="12" max="12" width="11.5546875" style="6" customWidth="1"/>
    <col min="13" max="16384" width="8.77734375" style="6"/>
  </cols>
  <sheetData>
    <row r="1" spans="1:17" s="2" customFormat="1" x14ac:dyDescent="0.25"/>
    <row r="2" spans="1:17" s="2" customFormat="1" x14ac:dyDescent="0.25">
      <c r="B2" s="72" t="s">
        <v>30</v>
      </c>
    </row>
    <row r="3" spans="1:17" s="2" customFormat="1" x14ac:dyDescent="0.25">
      <c r="B3" s="5"/>
      <c r="M3" s="87"/>
      <c r="N3" s="87"/>
      <c r="O3" s="87"/>
      <c r="P3" s="87"/>
      <c r="Q3" s="87"/>
    </row>
    <row r="4" spans="1:17" s="73" customFormat="1" x14ac:dyDescent="0.25">
      <c r="B4" s="74" t="s">
        <v>0</v>
      </c>
      <c r="C4" s="212" t="str">
        <f>'Income Statement'!C4</f>
        <v>FY 2021</v>
      </c>
      <c r="D4" s="212" t="str">
        <f>'Income Statement'!D4</f>
        <v>FY 2022</v>
      </c>
      <c r="E4" s="212" t="str">
        <f>'Income Statement'!E4</f>
        <v>FY 2023</v>
      </c>
      <c r="F4" s="213" t="str">
        <f>'Income Statement'!F4</f>
        <v>FY 2024</v>
      </c>
      <c r="G4" s="75" t="str">
        <f>'Income Statement'!G4</f>
        <v>FY 2025 E</v>
      </c>
      <c r="H4" s="75" t="str">
        <f>'Income Statement'!H4</f>
        <v>FY 2026(E)</v>
      </c>
      <c r="I4" s="75" t="str">
        <f>'Income Statement'!I4</f>
        <v>FY 2027E</v>
      </c>
      <c r="J4" s="75" t="str">
        <f>'Income Statement'!J4</f>
        <v>FY 2028 E</v>
      </c>
      <c r="K4" s="75" t="str">
        <f>'Income Statement'!K4</f>
        <v>FY 2029 E</v>
      </c>
      <c r="L4" s="75" t="str">
        <f>'Income Statement'!L4</f>
        <v>FY 2030 E</v>
      </c>
      <c r="M4" s="87"/>
      <c r="N4" s="87"/>
      <c r="O4" s="87"/>
      <c r="P4" s="87"/>
      <c r="Q4" s="87"/>
    </row>
    <row r="5" spans="1:17" x14ac:dyDescent="0.25">
      <c r="B5" s="16"/>
      <c r="F5" s="29"/>
      <c r="M5" s="91"/>
      <c r="N5" s="91"/>
      <c r="O5" s="91"/>
      <c r="P5" s="91"/>
      <c r="Q5" s="91"/>
    </row>
    <row r="6" spans="1:17" s="147" customFormat="1" x14ac:dyDescent="0.25">
      <c r="A6" s="143"/>
      <c r="B6" s="159" t="s">
        <v>32</v>
      </c>
      <c r="C6" s="147">
        <f>'Income Statement'!C31</f>
        <v>7679</v>
      </c>
      <c r="D6" s="147">
        <f>'Income Statement'!D31</f>
        <v>8978</v>
      </c>
      <c r="E6" s="147">
        <f>'Income Statement'!E31</f>
        <v>9155</v>
      </c>
      <c r="F6" s="147">
        <f>'Income Statement'!F31</f>
        <v>9626</v>
      </c>
      <c r="G6" s="147">
        <f ca="1">'Income Statement'!G31</f>
        <v>10688.115239999996</v>
      </c>
      <c r="H6" s="147">
        <f ca="1">'Income Statement'!H31</f>
        <v>11392.720178399999</v>
      </c>
      <c r="I6" s="147">
        <f ca="1">'Income Statement'!I31</f>
        <v>12139.601413104008</v>
      </c>
      <c r="J6" s="147">
        <f ca="1">'Income Statement'!J31</f>
        <v>12931.29552189025</v>
      </c>
      <c r="K6" s="147">
        <f ca="1">'Income Statement'!K31</f>
        <v>13770.491277203662</v>
      </c>
      <c r="L6" s="147">
        <f ca="1">'Income Statement'!L31</f>
        <v>14660.038777835878</v>
      </c>
      <c r="M6" s="91"/>
      <c r="N6" s="91"/>
      <c r="O6" s="91"/>
      <c r="P6" s="91"/>
      <c r="Q6" s="91"/>
    </row>
    <row r="7" spans="1:17" x14ac:dyDescent="0.25">
      <c r="B7" s="11"/>
      <c r="F7" s="29"/>
      <c r="M7" s="91"/>
      <c r="N7" s="91"/>
      <c r="O7" s="91"/>
      <c r="P7" s="91"/>
      <c r="Q7" s="91"/>
    </row>
    <row r="8" spans="1:17" x14ac:dyDescent="0.25">
      <c r="B8" s="2" t="s">
        <v>33</v>
      </c>
      <c r="C8" s="2">
        <v>2710</v>
      </c>
      <c r="D8" s="2">
        <v>2763</v>
      </c>
      <c r="E8" s="2">
        <v>2948</v>
      </c>
      <c r="F8" s="149">
        <v>3160</v>
      </c>
      <c r="G8" s="2">
        <f>'PPE Schedule'!G11</f>
        <v>3247.5405059999998</v>
      </c>
      <c r="H8" s="2">
        <f>'PPE Schedule'!H11</f>
        <v>3538.3517952299999</v>
      </c>
      <c r="I8" s="2">
        <f>'PPE Schedule'!I11</f>
        <v>3836.5360816324496</v>
      </c>
      <c r="J8" s="2">
        <f>'PPE Schedule'!J11</f>
        <v>4143.5936914567392</v>
      </c>
      <c r="K8" s="2">
        <f>'PPE Schedule'!K11</f>
        <v>4461.0038861532184</v>
      </c>
      <c r="L8" s="2">
        <f>'PPE Schedule'!L11</f>
        <v>4790.2352623445358</v>
      </c>
      <c r="M8" s="91"/>
      <c r="N8" s="91"/>
      <c r="O8" s="91"/>
      <c r="P8" s="91"/>
      <c r="Q8" s="91"/>
    </row>
    <row r="9" spans="1:17" s="7" customFormat="1" x14ac:dyDescent="0.25">
      <c r="A9" s="5"/>
      <c r="B9" s="2"/>
      <c r="C9" s="2"/>
      <c r="D9" s="2"/>
      <c r="E9" s="2"/>
      <c r="F9" s="149"/>
      <c r="G9" s="2"/>
      <c r="H9" s="2"/>
      <c r="I9" s="2"/>
      <c r="J9" s="2"/>
      <c r="K9" s="2"/>
      <c r="L9" s="2"/>
      <c r="M9" s="123"/>
      <c r="N9" s="123"/>
      <c r="O9" s="123"/>
      <c r="P9" s="123"/>
      <c r="Q9" s="123"/>
    </row>
    <row r="10" spans="1:17" s="7" customFormat="1" x14ac:dyDescent="0.25">
      <c r="A10" s="5"/>
      <c r="B10" s="16" t="s">
        <v>34</v>
      </c>
      <c r="C10" s="2">
        <v>0</v>
      </c>
      <c r="D10" s="2"/>
      <c r="E10" s="2" t="s">
        <v>94</v>
      </c>
      <c r="F10" s="149" t="s">
        <v>94</v>
      </c>
      <c r="G10" s="2" t="s">
        <v>94</v>
      </c>
      <c r="H10" s="2"/>
      <c r="I10" s="2"/>
      <c r="J10" s="2"/>
      <c r="K10" s="2"/>
      <c r="L10" s="2"/>
      <c r="M10" s="123"/>
      <c r="N10" s="123"/>
      <c r="O10" s="123"/>
      <c r="P10" s="123"/>
      <c r="Q10" s="123"/>
    </row>
    <row r="11" spans="1:17" s="7" customFormat="1" x14ac:dyDescent="0.25">
      <c r="A11" s="5"/>
      <c r="B11" s="2" t="s">
        <v>35</v>
      </c>
      <c r="C11" s="2">
        <v>-651</v>
      </c>
      <c r="D11" s="2">
        <f>'Balance Sheet'!C16-'Balance Sheet'!D16</f>
        <v>-1483</v>
      </c>
      <c r="E11" s="2">
        <f>'Balance Sheet'!D16-'Balance Sheet'!E16</f>
        <v>-652</v>
      </c>
      <c r="F11" s="2">
        <f>'Balance Sheet'!E16-'Balance Sheet'!F16</f>
        <v>482</v>
      </c>
      <c r="G11" s="2">
        <f>-'Balance Sheet'!G16+'Balance Sheet'!F16</f>
        <v>-337.16328767123377</v>
      </c>
      <c r="H11" s="2">
        <f>-'Balance Sheet'!H16+'Balance Sheet'!G16</f>
        <v>-640.20979726027508</v>
      </c>
      <c r="I11" s="2">
        <f>-'Balance Sheet'!I16+'Balance Sheet'!H16</f>
        <v>-678.62238509589042</v>
      </c>
      <c r="J11" s="2">
        <f>-'Balance Sheet'!J16+'Balance Sheet'!I16</f>
        <v>-719.33972820164672</v>
      </c>
      <c r="K11" s="2">
        <f>-'Balance Sheet'!K16+'Balance Sheet'!J16</f>
        <v>-762.50011189373981</v>
      </c>
      <c r="L11" s="2">
        <f>-'Balance Sheet'!L16+'Balance Sheet'!K16</f>
        <v>-808.25011860736959</v>
      </c>
      <c r="M11" s="123"/>
      <c r="N11" s="123"/>
      <c r="O11" s="123"/>
      <c r="P11" s="123"/>
      <c r="Q11" s="123"/>
    </row>
    <row r="12" spans="1:17" s="7" customFormat="1" x14ac:dyDescent="0.25">
      <c r="A12" s="5"/>
      <c r="B12" s="2" t="s">
        <v>36</v>
      </c>
      <c r="C12" s="2">
        <v>1762</v>
      </c>
      <c r="D12" s="2">
        <f>'Balance Sheet'!D36-'Balance Sheet'!C36</f>
        <v>2212</v>
      </c>
      <c r="E12" s="2">
        <f>'Balance Sheet'!E36-'Balance Sheet'!D36</f>
        <v>1766</v>
      </c>
      <c r="F12" s="2">
        <f>'Balance Sheet'!F36-'Balance Sheet'!E36</f>
        <v>-683</v>
      </c>
      <c r="G12" s="2">
        <f>'Balance Sheet'!G36-'Balance Sheet'!F36</f>
        <v>1687.9000547945252</v>
      </c>
      <c r="H12" s="2">
        <f>'Balance Sheet'!H36-'Balance Sheet'!G36</f>
        <v>1568.5140032876698</v>
      </c>
      <c r="I12" s="2">
        <f>'Balance Sheet'!I36-'Balance Sheet'!H36</f>
        <v>1662.6248434849331</v>
      </c>
      <c r="J12" s="2">
        <f>'Balance Sheet'!J36-'Balance Sheet'!I36</f>
        <v>1762.3823340940289</v>
      </c>
      <c r="K12" s="2">
        <f>'Balance Sheet'!K36-'Balance Sheet'!J36</f>
        <v>1868.1252741396711</v>
      </c>
      <c r="L12" s="2">
        <f>'Balance Sheet'!L36-'Balance Sheet'!K36</f>
        <v>1980.2127905880552</v>
      </c>
      <c r="M12" s="123"/>
      <c r="N12" s="123"/>
      <c r="O12" s="123"/>
      <c r="P12" s="123"/>
      <c r="Q12" s="123"/>
    </row>
    <row r="13" spans="1:17" s="7" customFormat="1" x14ac:dyDescent="0.25">
      <c r="A13" s="5"/>
      <c r="B13" s="2" t="s">
        <v>37</v>
      </c>
      <c r="C13" s="2">
        <v>-582</v>
      </c>
      <c r="D13" s="2">
        <f>'Balance Sheet'!C17-'Balance Sheet'!D17</f>
        <v>-875</v>
      </c>
      <c r="E13" s="2">
        <f>'Balance Sheet'!D17-'Balance Sheet'!E17</f>
        <v>-112</v>
      </c>
      <c r="F13" s="2">
        <f>'Balance Sheet'!E17-'Balance Sheet'!F17</f>
        <v>28</v>
      </c>
      <c r="G13" s="2">
        <f ca="1">-('Balance Sheet'!G17-'Balance Sheet'!F17)</f>
        <v>-229.26191780822046</v>
      </c>
      <c r="H13" s="2">
        <f ca="1">-('Balance Sheet'!H17-'Balance Sheet'!G17)</f>
        <v>-332.11571506849305</v>
      </c>
      <c r="I13" s="2">
        <f ca="1">-('Balance Sheet'!I17-'Balance Sheet'!H17)</f>
        <v>-352.04265797260268</v>
      </c>
      <c r="J13" s="2">
        <f ca="1">-('Balance Sheet'!J17-'Balance Sheet'!I17)</f>
        <v>-373.16521745095815</v>
      </c>
      <c r="K13" s="2">
        <f ca="1">-('Balance Sheet'!K17-'Balance Sheet'!J17)</f>
        <v>-395.55513049801812</v>
      </c>
      <c r="L13" s="2">
        <f ca="1">-('Balance Sheet'!L17-'Balance Sheet'!K17)</f>
        <v>-419.28843832789789</v>
      </c>
      <c r="M13" s="123"/>
      <c r="N13" s="123"/>
      <c r="O13" s="123"/>
      <c r="P13" s="123"/>
      <c r="Q13" s="123"/>
    </row>
    <row r="14" spans="1:17" x14ac:dyDescent="0.25">
      <c r="B14" s="2" t="s">
        <v>86</v>
      </c>
      <c r="C14" s="2">
        <v>159</v>
      </c>
      <c r="D14" s="2">
        <f>'Balance Sheet'!C21-'Balance Sheet'!D21</f>
        <v>174</v>
      </c>
      <c r="E14" s="2">
        <f>'Balance Sheet'!D21-'Balance Sheet'!E21</f>
        <v>8</v>
      </c>
      <c r="F14" s="2">
        <f>'Balance Sheet'!E21-'Balance Sheet'!F21</f>
        <v>-123</v>
      </c>
      <c r="G14" s="2">
        <f>-('Balance Sheet'!G21-'Balance Sheet'!F21)</f>
        <v>-52.652400000000057</v>
      </c>
      <c r="H14" s="2">
        <f>-('Balance Sheet'!H21-'Balance Sheet'!G21)</f>
        <v>-58.419144000000074</v>
      </c>
      <c r="I14" s="2">
        <f>-('Balance Sheet'!I21-'Balance Sheet'!H21)</f>
        <v>-61.924292639999976</v>
      </c>
      <c r="J14" s="2">
        <f>-('Balance Sheet'!J21-'Balance Sheet'!I21)</f>
        <v>-65.639750198400179</v>
      </c>
      <c r="K14" s="2">
        <f>-('Balance Sheet'!K21-'Balance Sheet'!J21)</f>
        <v>-69.578135210304026</v>
      </c>
      <c r="L14" s="2">
        <f>-('Balance Sheet'!L21-'Balance Sheet'!K21)</f>
        <v>-73.752823322922495</v>
      </c>
      <c r="M14" s="91"/>
      <c r="N14" s="91"/>
      <c r="O14" s="91"/>
      <c r="P14" s="91"/>
      <c r="Q14" s="91"/>
    </row>
    <row r="15" spans="1:17" x14ac:dyDescent="0.25">
      <c r="B15" s="2" t="s">
        <v>166</v>
      </c>
      <c r="C15" s="2">
        <v>539</v>
      </c>
      <c r="D15" s="2">
        <v>-958</v>
      </c>
      <c r="E15" s="2">
        <v>329</v>
      </c>
      <c r="F15" s="149">
        <v>17</v>
      </c>
      <c r="G15" s="2">
        <f>-('Balance Sheet'!G19-'Balance Sheet'!F19)</f>
        <v>79.443319999999972</v>
      </c>
      <c r="H15" s="2">
        <f>-('Balance Sheet'!H19-'Balance Sheet'!G19)</f>
        <v>-40.893400800000109</v>
      </c>
      <c r="I15" s="2">
        <f>-('Balance Sheet'!I19-'Balance Sheet'!H19)</f>
        <v>-43.347004847999983</v>
      </c>
      <c r="J15" s="2">
        <f>-('Balance Sheet'!J19-'Balance Sheet'!I19)</f>
        <v>-45.947825138880148</v>
      </c>
      <c r="K15" s="2">
        <f>-('Balance Sheet'!K19-'Balance Sheet'!J19)</f>
        <v>-48.704694647212818</v>
      </c>
      <c r="L15" s="2">
        <f>-('Balance Sheet'!L19-'Balance Sheet'!K19)</f>
        <v>-51.626976326045678</v>
      </c>
      <c r="M15" s="91"/>
      <c r="N15" s="91"/>
      <c r="O15" s="91"/>
      <c r="P15" s="91"/>
      <c r="Q15" s="91"/>
    </row>
    <row r="16" spans="1:17" x14ac:dyDescent="0.25">
      <c r="C16" s="2"/>
      <c r="D16" s="2"/>
      <c r="E16" s="2"/>
      <c r="F16" s="149"/>
      <c r="G16" s="2"/>
      <c r="H16" s="2"/>
      <c r="I16" s="2"/>
      <c r="J16" s="2"/>
      <c r="K16" s="2"/>
      <c r="L16" s="2"/>
      <c r="M16" s="91"/>
      <c r="N16" s="91"/>
      <c r="O16" s="91"/>
      <c r="P16" s="91"/>
      <c r="Q16" s="91"/>
    </row>
    <row r="17" spans="1:17" s="145" customFormat="1" x14ac:dyDescent="0.25">
      <c r="A17" s="143"/>
      <c r="B17" s="144" t="s">
        <v>31</v>
      </c>
      <c r="C17" s="144">
        <f>SUM(C6:C15)</f>
        <v>11616</v>
      </c>
      <c r="D17" s="144">
        <f t="shared" ref="D17:F17" si="0">SUM(D6:D15)</f>
        <v>10811</v>
      </c>
      <c r="E17" s="144">
        <f t="shared" si="0"/>
        <v>13442</v>
      </c>
      <c r="F17" s="144">
        <f t="shared" si="0"/>
        <v>12507</v>
      </c>
      <c r="G17" s="144">
        <f ca="1">SUM(G6:G15)</f>
        <v>15083.921515315065</v>
      </c>
      <c r="H17" s="144">
        <f t="shared" ref="H17:L17" ca="1" si="1">SUM(H6:H15)</f>
        <v>15427.947919788901</v>
      </c>
      <c r="I17" s="144">
        <f t="shared" ca="1" si="1"/>
        <v>16502.825997664895</v>
      </c>
      <c r="J17" s="144">
        <f t="shared" ca="1" si="1"/>
        <v>17633.179026451133</v>
      </c>
      <c r="K17" s="144">
        <f t="shared" ca="1" si="1"/>
        <v>18823.28236524728</v>
      </c>
      <c r="L17" s="144">
        <f t="shared" ca="1" si="1"/>
        <v>20077.568474184234</v>
      </c>
      <c r="M17" s="123"/>
      <c r="N17" s="123"/>
      <c r="O17" s="123"/>
      <c r="P17" s="123"/>
      <c r="Q17" s="123"/>
    </row>
    <row r="18" spans="1:17" s="7" customFormat="1" x14ac:dyDescent="0.25">
      <c r="A18" s="5"/>
      <c r="B18" s="2" t="s">
        <v>92</v>
      </c>
      <c r="C18" s="2">
        <v>166</v>
      </c>
      <c r="D18" s="2">
        <v>251</v>
      </c>
      <c r="E18" s="2">
        <v>198</v>
      </c>
      <c r="F18" s="149">
        <v>342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23"/>
      <c r="N18" s="123"/>
      <c r="O18" s="123"/>
      <c r="P18" s="123"/>
      <c r="Q18" s="123"/>
    </row>
    <row r="19" spans="1:17" s="7" customFormat="1" x14ac:dyDescent="0.25">
      <c r="A19" s="5"/>
      <c r="B19" s="2" t="s">
        <v>7</v>
      </c>
      <c r="C19" s="2">
        <v>-4625</v>
      </c>
      <c r="D19" s="2">
        <v>-5207</v>
      </c>
      <c r="E19" s="2">
        <v>-5518</v>
      </c>
      <c r="F19" s="149">
        <v>-5318</v>
      </c>
      <c r="G19" s="2">
        <f>-'PPE Schedule'!G8</f>
        <v>-5841.9143999999997</v>
      </c>
      <c r="H19" s="2">
        <f>-'PPE Schedule'!H8</f>
        <v>-6192.4292640000003</v>
      </c>
      <c r="I19" s="2">
        <f>-'PPE Schedule'!I8</f>
        <v>-6563.9750198400006</v>
      </c>
      <c r="J19" s="2">
        <f>-'PPE Schedule'!J8</f>
        <v>-6957.8135210304017</v>
      </c>
      <c r="K19" s="2">
        <f>-'PPE Schedule'!K8</f>
        <v>-7375.2823322922259</v>
      </c>
      <c r="L19" s="2">
        <f>-'PPE Schedule'!L8</f>
        <v>-7817.7992722297604</v>
      </c>
      <c r="M19" s="123"/>
      <c r="N19" s="123"/>
      <c r="O19" s="123"/>
      <c r="P19" s="123"/>
      <c r="Q19" s="123"/>
    </row>
    <row r="20" spans="1:17" s="7" customFormat="1" x14ac:dyDescent="0.25">
      <c r="A20" s="5"/>
      <c r="B20" s="2" t="s">
        <v>95</v>
      </c>
      <c r="C20" s="2">
        <v>1135</v>
      </c>
      <c r="D20" s="2">
        <v>141</v>
      </c>
      <c r="E20" s="2">
        <v>-555</v>
      </c>
      <c r="F20" s="149">
        <v>-425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23"/>
      <c r="N20" s="123"/>
      <c r="O20" s="123"/>
      <c r="P20" s="123"/>
      <c r="Q20" s="123"/>
    </row>
    <row r="21" spans="1:17" s="7" customFormat="1" x14ac:dyDescent="0.25">
      <c r="A21" s="5" t="s">
        <v>87</v>
      </c>
      <c r="B21" s="18" t="s">
        <v>173</v>
      </c>
      <c r="C21" s="2">
        <v>55</v>
      </c>
      <c r="D21" s="160">
        <v>2385</v>
      </c>
      <c r="E21" s="2">
        <v>380</v>
      </c>
      <c r="F21" s="149">
        <v>-71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23"/>
      <c r="N21" s="123"/>
      <c r="O21" s="123"/>
      <c r="P21" s="123"/>
      <c r="Q21" s="123"/>
    </row>
    <row r="22" spans="1:17" s="147" customFormat="1" x14ac:dyDescent="0.25">
      <c r="A22" s="146"/>
      <c r="B22" s="144" t="s">
        <v>38</v>
      </c>
      <c r="C22" s="144">
        <f>C19+C20+C21+C18</f>
        <v>-3269</v>
      </c>
      <c r="D22" s="144">
        <f t="shared" ref="D22:F22" si="2">D19+D20+D21+D18</f>
        <v>-2430</v>
      </c>
      <c r="E22" s="144">
        <f t="shared" si="2"/>
        <v>-5495</v>
      </c>
      <c r="F22" s="144">
        <f t="shared" si="2"/>
        <v>-5472</v>
      </c>
      <c r="G22" s="144">
        <f t="shared" ref="G22:L22" si="3">+G19</f>
        <v>-5841.9143999999997</v>
      </c>
      <c r="H22" s="144">
        <f t="shared" si="3"/>
        <v>-6192.4292640000003</v>
      </c>
      <c r="I22" s="144">
        <f t="shared" si="3"/>
        <v>-6563.9750198400006</v>
      </c>
      <c r="J22" s="144">
        <f t="shared" si="3"/>
        <v>-6957.8135210304017</v>
      </c>
      <c r="K22" s="144">
        <f t="shared" si="3"/>
        <v>-7375.2823322922259</v>
      </c>
      <c r="L22" s="144">
        <f t="shared" si="3"/>
        <v>-7817.7992722297604</v>
      </c>
      <c r="M22" s="91"/>
      <c r="N22" s="91"/>
      <c r="O22" s="91"/>
      <c r="P22" s="91"/>
      <c r="Q22" s="91"/>
    </row>
    <row r="23" spans="1:17" s="7" customFormat="1" x14ac:dyDescent="0.25">
      <c r="A23" s="5"/>
      <c r="B23" s="2" t="s">
        <v>153</v>
      </c>
      <c r="C23" s="2">
        <v>4122</v>
      </c>
      <c r="D23" s="2">
        <v>3377</v>
      </c>
      <c r="E23" s="2">
        <v>5482</v>
      </c>
      <c r="F23" s="149">
        <v>4042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23"/>
      <c r="N23" s="123"/>
      <c r="O23" s="123"/>
      <c r="P23" s="123"/>
      <c r="Q23" s="123"/>
    </row>
    <row r="24" spans="1:17" s="7" customFormat="1" x14ac:dyDescent="0.25">
      <c r="A24" s="5"/>
      <c r="B24" s="2" t="s">
        <v>154</v>
      </c>
      <c r="C24" s="2">
        <v>-4844</v>
      </c>
      <c r="D24" s="2">
        <v>-1716</v>
      </c>
      <c r="E24" s="2">
        <v>0</v>
      </c>
      <c r="F24" s="149">
        <v>0</v>
      </c>
      <c r="G24" s="149">
        <v>0</v>
      </c>
      <c r="H24" s="149">
        <v>0</v>
      </c>
      <c r="I24" s="149">
        <v>0</v>
      </c>
      <c r="J24" s="149">
        <v>0</v>
      </c>
      <c r="K24" s="149">
        <v>0</v>
      </c>
      <c r="L24" s="149">
        <v>0</v>
      </c>
      <c r="M24" s="123"/>
      <c r="N24" s="123"/>
      <c r="O24" s="123"/>
      <c r="P24" s="123"/>
      <c r="Q24" s="123"/>
    </row>
    <row r="25" spans="1:17" s="7" customFormat="1" x14ac:dyDescent="0.25">
      <c r="A25" s="5"/>
      <c r="B25" s="2" t="s">
        <v>148</v>
      </c>
      <c r="C25" s="2"/>
      <c r="D25" s="2"/>
      <c r="E25" s="2"/>
      <c r="F25" s="149"/>
      <c r="G25" s="149">
        <f ca="1">'Debt Schedule'!G25</f>
        <v>0</v>
      </c>
      <c r="H25" s="149">
        <f ca="1">'Debt Schedule'!H25</f>
        <v>0</v>
      </c>
      <c r="I25" s="149">
        <f ca="1">'Debt Schedule'!I25</f>
        <v>0</v>
      </c>
      <c r="J25" s="149">
        <f ca="1">'Debt Schedule'!J25</f>
        <v>0</v>
      </c>
      <c r="K25" s="149">
        <f ca="1">'Debt Schedule'!K25</f>
        <v>0</v>
      </c>
      <c r="L25" s="149">
        <f ca="1">'Debt Schedule'!L25</f>
        <v>0</v>
      </c>
      <c r="M25" s="123"/>
      <c r="N25" s="123"/>
      <c r="O25" s="123"/>
      <c r="P25" s="123"/>
      <c r="Q25" s="123"/>
    </row>
    <row r="26" spans="1:17" s="7" customFormat="1" x14ac:dyDescent="0.25">
      <c r="A26" s="5"/>
      <c r="B26" s="2" t="s">
        <v>149</v>
      </c>
      <c r="C26" s="2"/>
      <c r="D26" s="2"/>
      <c r="E26" s="2"/>
      <c r="F26" s="149"/>
      <c r="G26" s="149">
        <f ca="1">-'Debt Schedule'!G24</f>
        <v>-7082</v>
      </c>
      <c r="H26" s="149">
        <f ca="1">-'Debt Schedule'!H24</f>
        <v>0</v>
      </c>
      <c r="I26" s="149">
        <f ca="1">-'Debt Schedule'!I24</f>
        <v>0</v>
      </c>
      <c r="J26" s="149">
        <f ca="1">-'Debt Schedule'!J24</f>
        <v>0</v>
      </c>
      <c r="K26" s="149">
        <f ca="1">-'Debt Schedule'!K24</f>
        <v>0</v>
      </c>
      <c r="L26" s="149">
        <f ca="1">-'Debt Schedule'!L24</f>
        <v>0</v>
      </c>
      <c r="M26" s="123"/>
      <c r="N26" s="123"/>
      <c r="O26" s="123"/>
      <c r="P26" s="123"/>
      <c r="Q26" s="123"/>
    </row>
    <row r="27" spans="1:17" x14ac:dyDescent="0.25">
      <c r="B27" s="2" t="s">
        <v>93</v>
      </c>
      <c r="C27" s="2">
        <v>-3455</v>
      </c>
      <c r="D27" s="2">
        <v>-2458</v>
      </c>
      <c r="E27" s="2">
        <v>-3005</v>
      </c>
      <c r="F27" s="149">
        <v>-3886</v>
      </c>
      <c r="G27" s="149">
        <f>'Debt Schedule'!G12</f>
        <v>0</v>
      </c>
      <c r="H27" s="149">
        <f>'Debt Schedule'!H12</f>
        <v>0</v>
      </c>
      <c r="I27" s="149">
        <f>'Debt Schedule'!I12</f>
        <v>0</v>
      </c>
      <c r="J27" s="149">
        <f>'Debt Schedule'!J12</f>
        <v>0</v>
      </c>
      <c r="K27" s="149">
        <f>'Debt Schedule'!K12</f>
        <v>0</v>
      </c>
      <c r="L27" s="149">
        <f>'Debt Schedule'!L12</f>
        <v>0</v>
      </c>
      <c r="M27" s="91"/>
      <c r="N27" s="91"/>
      <c r="O27" s="91"/>
      <c r="P27" s="91"/>
      <c r="Q27" s="91"/>
    </row>
    <row r="28" spans="1:17" x14ac:dyDescent="0.25">
      <c r="B28" s="2" t="s">
        <v>88</v>
      </c>
      <c r="C28" s="2">
        <v>-5815</v>
      </c>
      <c r="D28" s="2">
        <v>-6172</v>
      </c>
      <c r="E28" s="2">
        <v>-6682</v>
      </c>
      <c r="F28" s="149">
        <v>-7229</v>
      </c>
      <c r="G28" s="2">
        <f ca="1">-'Income Statement'!G44</f>
        <v>-8026.6346426303735</v>
      </c>
      <c r="H28" s="2">
        <f ca="1">-'Income Statement'!H44</f>
        <v>-8555.7837284078105</v>
      </c>
      <c r="I28" s="2">
        <f ca="1">-'Income Statement'!I44</f>
        <v>-9116.6817593319047</v>
      </c>
      <c r="J28" s="2">
        <f ca="1">-'Income Statement'!J44</f>
        <v>-9711.2336721114443</v>
      </c>
      <c r="K28" s="2">
        <f ca="1">-'Income Statement'!K44</f>
        <v>-10341.458699657725</v>
      </c>
      <c r="L28" s="2">
        <f ca="1">-'Income Statement'!L44</f>
        <v>-11009.497228856801</v>
      </c>
      <c r="M28" s="91"/>
      <c r="N28" s="91"/>
      <c r="O28" s="91"/>
      <c r="P28" s="91"/>
      <c r="Q28" s="91"/>
    </row>
    <row r="29" spans="1:17" x14ac:dyDescent="0.25">
      <c r="A29" s="2" t="s">
        <v>89</v>
      </c>
      <c r="C29" s="2">
        <v>-788</v>
      </c>
      <c r="D29" s="2">
        <v>-1554</v>
      </c>
      <c r="E29" s="2">
        <v>1196</v>
      </c>
      <c r="F29" s="149">
        <v>-483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91"/>
      <c r="N29" s="91"/>
      <c r="O29" s="91"/>
      <c r="P29" s="91"/>
      <c r="Q29" s="91"/>
    </row>
    <row r="30" spans="1:17" s="147" customFormat="1" x14ac:dyDescent="0.25">
      <c r="A30" s="146"/>
      <c r="B30" s="144" t="s">
        <v>39</v>
      </c>
      <c r="C30" s="144">
        <f>C23+C24+C27+C28+C29</f>
        <v>-10780</v>
      </c>
      <c r="D30" s="144">
        <f t="shared" ref="D30:F30" si="4">D23+D24+D27+D28+D29</f>
        <v>-8523</v>
      </c>
      <c r="E30" s="144">
        <f t="shared" si="4"/>
        <v>-3009</v>
      </c>
      <c r="F30" s="144">
        <f t="shared" si="4"/>
        <v>-7556</v>
      </c>
      <c r="G30" s="144">
        <f ca="1">SUM(G23:G29)</f>
        <v>-15108.634642630373</v>
      </c>
      <c r="H30" s="144">
        <f t="shared" ref="H30:L30" ca="1" si="5">SUM(H23:H29)</f>
        <v>-8555.7837284078105</v>
      </c>
      <c r="I30" s="144">
        <f t="shared" ca="1" si="5"/>
        <v>-9116.6817593319047</v>
      </c>
      <c r="J30" s="144">
        <f t="shared" ca="1" si="5"/>
        <v>-9711.2336721114443</v>
      </c>
      <c r="K30" s="144">
        <f t="shared" ca="1" si="5"/>
        <v>-10341.458699657725</v>
      </c>
      <c r="L30" s="144">
        <f t="shared" ca="1" si="5"/>
        <v>-11009.497228856801</v>
      </c>
      <c r="M30" s="91"/>
      <c r="N30" s="91"/>
      <c r="O30" s="91"/>
      <c r="P30" s="91"/>
      <c r="Q30" s="91"/>
    </row>
    <row r="31" spans="1:17" x14ac:dyDescent="0.25">
      <c r="B31" s="2" t="s">
        <v>194</v>
      </c>
      <c r="C31" s="2">
        <v>-111</v>
      </c>
      <c r="D31" s="2">
        <v>-465</v>
      </c>
      <c r="E31" s="2">
        <v>-297</v>
      </c>
      <c r="F31" s="149">
        <v>-687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7" x14ac:dyDescent="0.25">
      <c r="B32" s="2" t="s">
        <v>165</v>
      </c>
      <c r="C32" s="2">
        <v>-114</v>
      </c>
      <c r="D32" s="2">
        <v>-35</v>
      </c>
      <c r="E32" s="2">
        <v>116</v>
      </c>
      <c r="F32" s="149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x14ac:dyDescent="0.25">
      <c r="B33" s="30" t="s">
        <v>40</v>
      </c>
      <c r="C33" s="30">
        <f>C17+C22+C30+C32+C31</f>
        <v>-2658</v>
      </c>
      <c r="D33" s="30">
        <f t="shared" ref="D33:F33" si="6">D17+D22+D30+D32+D31</f>
        <v>-642</v>
      </c>
      <c r="E33" s="30">
        <f t="shared" si="6"/>
        <v>4757</v>
      </c>
      <c r="F33" s="30">
        <f t="shared" si="6"/>
        <v>-1206</v>
      </c>
      <c r="G33" s="30">
        <f t="shared" ref="G33:L33" ca="1" si="7">+G17+G22+G30</f>
        <v>-5866.6275273153078</v>
      </c>
      <c r="H33" s="30">
        <f t="shared" ca="1" si="7"/>
        <v>679.73492738109053</v>
      </c>
      <c r="I33" s="30">
        <f t="shared" ca="1" si="7"/>
        <v>822.16921849299069</v>
      </c>
      <c r="J33" s="30">
        <f t="shared" ca="1" si="7"/>
        <v>964.13183330928587</v>
      </c>
      <c r="K33" s="30">
        <f t="shared" ca="1" si="7"/>
        <v>1106.5413332973276</v>
      </c>
      <c r="L33" s="30">
        <f t="shared" ca="1" si="7"/>
        <v>1250.2719730976733</v>
      </c>
    </row>
    <row r="34" spans="1:12" s="7" customFormat="1" x14ac:dyDescent="0.25">
      <c r="A34" s="5"/>
      <c r="B34" s="2" t="s">
        <v>41</v>
      </c>
      <c r="C34" s="2">
        <v>8254</v>
      </c>
      <c r="D34" s="2">
        <f>+C35</f>
        <v>5596</v>
      </c>
      <c r="E34" s="2">
        <f t="shared" ref="E34:L34" si="8">+D35</f>
        <v>4954</v>
      </c>
      <c r="F34" s="149">
        <f t="shared" si="8"/>
        <v>9711</v>
      </c>
      <c r="G34" s="2">
        <f>F35</f>
        <v>8505</v>
      </c>
      <c r="H34" s="2">
        <f t="shared" ca="1" si="8"/>
        <v>2638.3724726846922</v>
      </c>
      <c r="I34" s="2">
        <f t="shared" ca="1" si="8"/>
        <v>3318.1074000657827</v>
      </c>
      <c r="J34" s="2">
        <f t="shared" ca="1" si="8"/>
        <v>4140.2766185587734</v>
      </c>
      <c r="K34" s="2">
        <f t="shared" ca="1" si="8"/>
        <v>5104.4084518680593</v>
      </c>
      <c r="L34" s="2">
        <f t="shared" ca="1" si="8"/>
        <v>6210.9497851653869</v>
      </c>
    </row>
    <row r="35" spans="1:12" s="145" customFormat="1" ht="13.8" thickBot="1" x14ac:dyDescent="0.3">
      <c r="A35" s="143"/>
      <c r="B35" s="189" t="s">
        <v>42</v>
      </c>
      <c r="C35" s="189">
        <f>C33+C34</f>
        <v>5596</v>
      </c>
      <c r="D35" s="189">
        <f t="shared" ref="D35:L35" si="9">D33+D34</f>
        <v>4954</v>
      </c>
      <c r="E35" s="189">
        <f t="shared" si="9"/>
        <v>9711</v>
      </c>
      <c r="F35" s="191">
        <f t="shared" si="9"/>
        <v>8505</v>
      </c>
      <c r="G35" s="189">
        <f t="shared" ca="1" si="9"/>
        <v>2638.3724726846922</v>
      </c>
      <c r="H35" s="189">
        <f t="shared" ca="1" si="9"/>
        <v>3318.1074000657827</v>
      </c>
      <c r="I35" s="189">
        <f t="shared" ca="1" si="9"/>
        <v>4140.2766185587734</v>
      </c>
      <c r="J35" s="189">
        <f t="shared" ca="1" si="9"/>
        <v>5104.4084518680593</v>
      </c>
      <c r="K35" s="189">
        <f t="shared" ca="1" si="9"/>
        <v>6210.9497851653869</v>
      </c>
      <c r="L35" s="189">
        <f t="shared" ca="1" si="9"/>
        <v>7461.2217582630601</v>
      </c>
    </row>
    <row r="36" spans="1:12" ht="13.8" thickTop="1" x14ac:dyDescent="0.25">
      <c r="B36" s="13"/>
    </row>
    <row r="37" spans="1:12" x14ac:dyDescent="0.25">
      <c r="B37" s="18"/>
      <c r="C37" s="17"/>
      <c r="D37" s="17"/>
      <c r="E37" s="17"/>
      <c r="F37" s="17"/>
    </row>
    <row r="38" spans="1:12" s="7" customFormat="1" x14ac:dyDescent="0.25">
      <c r="A38" s="5"/>
      <c r="B38" s="14"/>
      <c r="C38" s="8"/>
      <c r="D38" s="8"/>
      <c r="E38" s="8"/>
      <c r="F38" s="8"/>
    </row>
    <row r="39" spans="1:12" x14ac:dyDescent="0.25">
      <c r="B39" s="13"/>
    </row>
    <row r="40" spans="1:12" x14ac:dyDescent="0.25">
      <c r="B40" s="19"/>
    </row>
    <row r="41" spans="1:12" x14ac:dyDescent="0.25">
      <c r="B41" s="18"/>
      <c r="C41" s="8"/>
      <c r="D41" s="8"/>
      <c r="E41" s="8"/>
      <c r="F41" s="8"/>
    </row>
    <row r="42" spans="1:12" x14ac:dyDescent="0.25">
      <c r="B42" s="13"/>
    </row>
    <row r="43" spans="1:12" x14ac:dyDescent="0.25">
      <c r="B43" s="18"/>
    </row>
    <row r="44" spans="1:12" s="7" customFormat="1" x14ac:dyDescent="0.25">
      <c r="A44" s="5"/>
      <c r="B44" s="18"/>
      <c r="C44" s="8"/>
      <c r="D44" s="8"/>
      <c r="E44" s="8"/>
      <c r="F44" s="8"/>
    </row>
    <row r="45" spans="1:12" s="7" customFormat="1" x14ac:dyDescent="0.25">
      <c r="A45" s="5"/>
      <c r="B45" s="14"/>
      <c r="C45" s="8"/>
      <c r="D45" s="8"/>
      <c r="E45" s="8"/>
      <c r="F45" s="8"/>
    </row>
    <row r="46" spans="1:12" x14ac:dyDescent="0.25">
      <c r="B46" s="18"/>
    </row>
    <row r="47" spans="1:12" x14ac:dyDescent="0.25">
      <c r="B47" s="13"/>
    </row>
    <row r="48" spans="1:12" x14ac:dyDescent="0.25">
      <c r="B48" s="14"/>
      <c r="C48" s="8"/>
      <c r="D48" s="8"/>
      <c r="E48" s="8"/>
      <c r="F48" s="8"/>
    </row>
    <row r="49" spans="1:6" x14ac:dyDescent="0.25">
      <c r="B49" s="13"/>
    </row>
    <row r="50" spans="1:6" x14ac:dyDescent="0.25">
      <c r="B50" s="13"/>
    </row>
    <row r="51" spans="1:6" x14ac:dyDescent="0.25">
      <c r="B51" s="14"/>
      <c r="C51" s="8"/>
      <c r="D51" s="8"/>
      <c r="E51" s="8"/>
      <c r="F51" s="8"/>
    </row>
    <row r="52" spans="1:6" x14ac:dyDescent="0.25">
      <c r="B52" s="11"/>
    </row>
    <row r="53" spans="1:6" x14ac:dyDescent="0.25">
      <c r="B53" s="11"/>
    </row>
    <row r="54" spans="1:6" x14ac:dyDescent="0.25">
      <c r="B54" s="15"/>
    </row>
    <row r="55" spans="1:6" s="7" customFormat="1" x14ac:dyDescent="0.25">
      <c r="A55" s="5"/>
      <c r="B55" s="12"/>
      <c r="C55" s="8"/>
      <c r="D55" s="8"/>
      <c r="E55" s="8"/>
      <c r="F55" s="8"/>
    </row>
    <row r="56" spans="1:6" s="7" customFormat="1" x14ac:dyDescent="0.25">
      <c r="A56" s="5"/>
      <c r="B56" s="12"/>
      <c r="C56" s="8"/>
      <c r="D56" s="8"/>
      <c r="E56" s="8"/>
      <c r="F56" s="8"/>
    </row>
    <row r="57" spans="1:6" s="7" customFormat="1" x14ac:dyDescent="0.25">
      <c r="A57" s="5"/>
      <c r="B57" s="12"/>
      <c r="C57" s="8"/>
      <c r="D57" s="8"/>
    </row>
    <row r="58" spans="1:6" x14ac:dyDescent="0.25">
      <c r="B58" s="13"/>
    </row>
    <row r="59" spans="1:6" x14ac:dyDescent="0.25">
      <c r="B59" s="14"/>
      <c r="C59" s="8"/>
      <c r="D59" s="8"/>
      <c r="E59" s="8"/>
      <c r="F59" s="8"/>
    </row>
    <row r="60" spans="1:6" x14ac:dyDescent="0.25">
      <c r="B60" s="13"/>
    </row>
    <row r="61" spans="1:6" x14ac:dyDescent="0.25">
      <c r="B61" s="13"/>
    </row>
    <row r="62" spans="1:6" x14ac:dyDescent="0.25">
      <c r="B62" s="14"/>
      <c r="C62" s="8"/>
      <c r="D62" s="8"/>
      <c r="E62" s="8"/>
      <c r="F62" s="8"/>
    </row>
    <row r="63" spans="1:6" x14ac:dyDescent="0.25">
      <c r="B63" s="13"/>
    </row>
    <row r="64" spans="1:6" x14ac:dyDescent="0.25">
      <c r="B64" s="13"/>
    </row>
    <row r="65" spans="1:6" x14ac:dyDescent="0.25">
      <c r="B65" s="14"/>
      <c r="C65" s="8"/>
      <c r="D65" s="8"/>
      <c r="E65" s="10"/>
      <c r="F65" s="10"/>
    </row>
    <row r="66" spans="1:6" x14ac:dyDescent="0.25">
      <c r="B66" s="13"/>
      <c r="D66" s="8"/>
    </row>
    <row r="67" spans="1:6" s="7" customFormat="1" x14ac:dyDescent="0.25">
      <c r="A67" s="5"/>
      <c r="B67" s="14"/>
      <c r="C67" s="8"/>
      <c r="D67" s="8"/>
      <c r="E67" s="8"/>
      <c r="F67" s="8"/>
    </row>
    <row r="71" spans="1:6" s="7" customFormat="1" x14ac:dyDescent="0.25">
      <c r="A71" s="5"/>
      <c r="B71" s="5"/>
      <c r="C71" s="8"/>
      <c r="D71" s="8"/>
      <c r="E71" s="8"/>
      <c r="F71" s="8"/>
    </row>
    <row r="74" spans="1:6" x14ac:dyDescent="0.25">
      <c r="B74" s="5"/>
      <c r="C74" s="8"/>
      <c r="D74" s="8"/>
      <c r="E74" s="8"/>
      <c r="F74" s="8"/>
    </row>
    <row r="77" spans="1:6" s="7" customFormat="1" x14ac:dyDescent="0.25">
      <c r="A77" s="5"/>
      <c r="B77" s="5"/>
      <c r="C77" s="8"/>
      <c r="D77" s="8"/>
      <c r="E77" s="8"/>
      <c r="F77" s="8"/>
    </row>
    <row r="79" spans="1:6" x14ac:dyDescent="0.25">
      <c r="B79" s="16"/>
    </row>
    <row r="80" spans="1:6" x14ac:dyDescent="0.25">
      <c r="B80" s="5"/>
      <c r="C80" s="8"/>
      <c r="D80" s="8"/>
      <c r="E80" s="8"/>
      <c r="F80" s="8"/>
    </row>
    <row r="83" spans="1:6" x14ac:dyDescent="0.25">
      <c r="B83" s="5"/>
      <c r="C83" s="8"/>
      <c r="D83" s="8"/>
      <c r="E83" s="8"/>
      <c r="F83" s="8"/>
    </row>
    <row r="86" spans="1:6" x14ac:dyDescent="0.25">
      <c r="B86" s="5"/>
      <c r="C86" s="8"/>
      <c r="D86" s="8"/>
      <c r="E86" s="8"/>
      <c r="F86" s="8"/>
    </row>
    <row r="88" spans="1:6" x14ac:dyDescent="0.25">
      <c r="B88" s="16"/>
    </row>
    <row r="89" spans="1:6" s="7" customFormat="1" x14ac:dyDescent="0.25">
      <c r="A89" s="5"/>
      <c r="B89" s="5"/>
      <c r="C89" s="8"/>
      <c r="D89" s="8"/>
      <c r="E89" s="8"/>
      <c r="F89" s="8"/>
    </row>
    <row r="92" spans="1:6" x14ac:dyDescent="0.25">
      <c r="B92" s="5"/>
      <c r="C92" s="8"/>
      <c r="D92" s="8"/>
      <c r="E92" s="8"/>
      <c r="F92" s="8"/>
    </row>
    <row r="93" spans="1:6" s="7" customFormat="1" x14ac:dyDescent="0.25">
      <c r="A93" s="5"/>
      <c r="B93" s="5"/>
      <c r="C93" s="8"/>
      <c r="D93" s="8"/>
      <c r="E93" s="8"/>
      <c r="F93" s="8"/>
    </row>
    <row r="96" spans="1:6" s="7" customFormat="1" x14ac:dyDescent="0.25">
      <c r="A96" s="5"/>
      <c r="B96" s="5"/>
      <c r="C96" s="8"/>
      <c r="D96" s="8"/>
      <c r="E96" s="8"/>
      <c r="F96" s="8"/>
    </row>
    <row r="98" spans="2:6" x14ac:dyDescent="0.25">
      <c r="B98" s="16"/>
    </row>
    <row r="99" spans="2:6" x14ac:dyDescent="0.25">
      <c r="B99" s="5"/>
      <c r="C99" s="8"/>
      <c r="D99" s="8"/>
      <c r="E99" s="8"/>
      <c r="F99" s="8"/>
    </row>
    <row r="101" spans="2:6" x14ac:dyDescent="0.25">
      <c r="B101" s="16"/>
    </row>
    <row r="103" spans="2:6" x14ac:dyDescent="0.25">
      <c r="B103" s="16"/>
    </row>
    <row r="104" spans="2:6" x14ac:dyDescent="0.25">
      <c r="B104" s="5"/>
      <c r="C104" s="8"/>
      <c r="D104" s="8"/>
      <c r="E104" s="8"/>
      <c r="F104" s="8"/>
    </row>
    <row r="105" spans="2:6" x14ac:dyDescent="0.25">
      <c r="B105" s="5"/>
    </row>
    <row r="108" spans="2:6" x14ac:dyDescent="0.25">
      <c r="B108" s="16"/>
    </row>
  </sheetData>
  <phoneticPr fontId="6" type="noConversion"/>
  <pageMargins left="0.75" right="0.75" top="1" bottom="1" header="0.3" footer="0.3"/>
  <pageSetup paperSize="9" scale="45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Q59"/>
  <sheetViews>
    <sheetView showGridLines="0" topLeftCell="A16" zoomScaleSheetLayoutView="85" workbookViewId="0">
      <selection activeCell="F37" sqref="F37"/>
    </sheetView>
  </sheetViews>
  <sheetFormatPr defaultColWidth="8.77734375" defaultRowHeight="13.2" x14ac:dyDescent="0.25"/>
  <cols>
    <col min="1" max="1" width="2.6640625" style="2" customWidth="1"/>
    <col min="2" max="2" width="41.21875" style="2" customWidth="1"/>
    <col min="3" max="3" width="16.33203125" style="169" customWidth="1"/>
    <col min="4" max="4" width="14.6640625" style="169" customWidth="1"/>
    <col min="5" max="5" width="13.21875" style="169" customWidth="1"/>
    <col min="6" max="6" width="13.21875" style="6" customWidth="1"/>
    <col min="7" max="7" width="14.77734375" style="91" customWidth="1"/>
    <col min="8" max="8" width="14.44140625" style="6" customWidth="1"/>
    <col min="9" max="9" width="13.21875" style="6" customWidth="1"/>
    <col min="10" max="10" width="15" style="6" customWidth="1"/>
    <col min="11" max="11" width="15.6640625" style="6" customWidth="1"/>
    <col min="12" max="12" width="13.21875" style="6" customWidth="1"/>
    <col min="13" max="17" width="9.33203125" style="6" bestFit="1" customWidth="1"/>
    <col min="18" max="16384" width="8.77734375" style="6"/>
  </cols>
  <sheetData>
    <row r="1" spans="1:17" s="2" customFormat="1" x14ac:dyDescent="0.25">
      <c r="C1" s="169"/>
      <c r="D1" s="169"/>
      <c r="E1" s="169"/>
      <c r="G1" s="87"/>
    </row>
    <row r="2" spans="1:17" s="2" customFormat="1" x14ac:dyDescent="0.25">
      <c r="B2" s="70" t="s">
        <v>17</v>
      </c>
      <c r="C2" s="169"/>
      <c r="D2" s="169"/>
      <c r="E2" s="169"/>
      <c r="G2" s="87"/>
    </row>
    <row r="3" spans="1:17" s="2" customFormat="1" x14ac:dyDescent="0.25">
      <c r="B3" s="5"/>
      <c r="C3" s="169"/>
      <c r="D3" s="169"/>
      <c r="E3" s="169"/>
      <c r="G3" s="87"/>
    </row>
    <row r="4" spans="1:17" s="83" customFormat="1" x14ac:dyDescent="0.25">
      <c r="B4" s="96" t="s">
        <v>0</v>
      </c>
      <c r="C4" s="215" t="str">
        <f>'Income Statement'!C4</f>
        <v>FY 2021</v>
      </c>
      <c r="D4" s="215" t="str">
        <f>'Income Statement'!D4</f>
        <v>FY 2022</v>
      </c>
      <c r="E4" s="215" t="str">
        <f>'Income Statement'!E4</f>
        <v>FY 2023</v>
      </c>
      <c r="F4" s="216" t="str">
        <f>'Income Statement'!F4</f>
        <v>FY 2024</v>
      </c>
      <c r="G4" s="97" t="str">
        <f>'Income Statement'!G4</f>
        <v>FY 2025 E</v>
      </c>
      <c r="H4" s="97" t="str">
        <f>'Income Statement'!H4</f>
        <v>FY 2026(E)</v>
      </c>
      <c r="I4" s="97" t="str">
        <f>'Income Statement'!I4</f>
        <v>FY 2027E</v>
      </c>
      <c r="J4" s="97" t="str">
        <f>'Income Statement'!J4</f>
        <v>FY 2028 E</v>
      </c>
      <c r="K4" s="97" t="str">
        <f>'Income Statement'!K4</f>
        <v>FY 2029 E</v>
      </c>
      <c r="L4" s="97" t="str">
        <f>'Income Statement'!L4</f>
        <v>FY 2030 E</v>
      </c>
      <c r="M4" s="98"/>
      <c r="N4" s="98"/>
      <c r="O4" s="98"/>
      <c r="P4" s="98"/>
      <c r="Q4" s="98"/>
    </row>
    <row r="5" spans="1:17" s="2" customFormat="1" x14ac:dyDescent="0.25">
      <c r="B5" s="5"/>
      <c r="C5" s="169"/>
      <c r="D5" s="169"/>
      <c r="E5" s="169"/>
      <c r="F5" s="3"/>
      <c r="G5" s="88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147" customFormat="1" x14ac:dyDescent="0.25">
      <c r="A6" s="146"/>
      <c r="B6" s="165" t="s">
        <v>18</v>
      </c>
      <c r="C6" s="183"/>
      <c r="D6" s="183"/>
      <c r="E6" s="183"/>
      <c r="G6" s="166"/>
    </row>
    <row r="7" spans="1:17" s="7" customFormat="1" x14ac:dyDescent="0.25">
      <c r="A7" s="5"/>
      <c r="B7" s="5"/>
      <c r="C7" s="78"/>
      <c r="D7" s="78"/>
      <c r="E7" s="78"/>
      <c r="F7" s="8"/>
      <c r="G7" s="90"/>
    </row>
    <row r="8" spans="1:17" x14ac:dyDescent="0.25">
      <c r="A8" s="2">
        <f ca="1">A8:B41</f>
        <v>0</v>
      </c>
      <c r="B8" s="161" t="s">
        <v>74</v>
      </c>
      <c r="C8" s="192">
        <v>22407</v>
      </c>
      <c r="D8" s="192">
        <v>24291</v>
      </c>
      <c r="E8" s="192">
        <v>27039</v>
      </c>
      <c r="F8" s="192">
        <v>28008</v>
      </c>
      <c r="G8" s="193">
        <f>'PPE Schedule'!G13</f>
        <v>30602.373894</v>
      </c>
      <c r="H8" s="193">
        <f>'PPE Schedule'!H13</f>
        <v>33256.45136277</v>
      </c>
      <c r="I8" s="193">
        <f>'PPE Schedule'!I13</f>
        <v>35983.890300977553</v>
      </c>
      <c r="J8" s="193">
        <f>'PPE Schedule'!J13</f>
        <v>38798.110130551213</v>
      </c>
      <c r="K8" s="193">
        <f>'PPE Schedule'!K13</f>
        <v>41712.388576690224</v>
      </c>
      <c r="L8" s="193">
        <f>'PPE Schedule'!L13</f>
        <v>44739.952586575455</v>
      </c>
      <c r="M8" s="89"/>
    </row>
    <row r="9" spans="1:17" x14ac:dyDescent="0.25">
      <c r="B9" s="161" t="s">
        <v>77</v>
      </c>
      <c r="C9" s="192">
        <v>1538</v>
      </c>
      <c r="D9" s="192">
        <v>1277</v>
      </c>
      <c r="E9" s="192">
        <v>1199</v>
      </c>
      <c r="F9" s="192">
        <v>1102</v>
      </c>
      <c r="G9" s="194">
        <v>1102</v>
      </c>
      <c r="H9" s="194">
        <v>1102</v>
      </c>
      <c r="I9" s="194">
        <v>1102</v>
      </c>
      <c r="J9" s="194">
        <v>1102</v>
      </c>
      <c r="K9" s="194">
        <v>1102</v>
      </c>
      <c r="L9" s="194">
        <v>1102</v>
      </c>
    </row>
    <row r="10" spans="1:17" x14ac:dyDescent="0.25">
      <c r="B10" s="161" t="s">
        <v>167</v>
      </c>
      <c r="C10" s="192">
        <v>2350</v>
      </c>
      <c r="D10" s="192">
        <v>3073</v>
      </c>
      <c r="E10" s="192">
        <v>2714</v>
      </c>
      <c r="F10" s="192">
        <v>1985</v>
      </c>
      <c r="G10" s="194">
        <v>1985</v>
      </c>
      <c r="H10" s="194">
        <v>1985</v>
      </c>
      <c r="I10" s="194">
        <v>1985</v>
      </c>
      <c r="J10" s="194">
        <v>1985</v>
      </c>
      <c r="K10" s="194">
        <v>1985</v>
      </c>
      <c r="L10" s="194">
        <v>1985</v>
      </c>
    </row>
    <row r="11" spans="1:17" x14ac:dyDescent="0.25">
      <c r="B11" s="161" t="s">
        <v>168</v>
      </c>
      <c r="C11" s="192">
        <v>4310</v>
      </c>
      <c r="D11" s="192">
        <v>4204</v>
      </c>
      <c r="E11" s="192">
        <v>4474</v>
      </c>
      <c r="F11" s="192">
        <v>4362</v>
      </c>
      <c r="G11" s="194">
        <v>4362</v>
      </c>
      <c r="H11" s="194">
        <v>4362</v>
      </c>
      <c r="I11" s="194">
        <v>4362</v>
      </c>
      <c r="J11" s="194">
        <v>4362</v>
      </c>
      <c r="K11" s="194">
        <v>4362</v>
      </c>
      <c r="L11" s="194">
        <v>4362</v>
      </c>
    </row>
    <row r="12" spans="1:17" x14ac:dyDescent="0.25">
      <c r="B12" s="161" t="s">
        <v>78</v>
      </c>
      <c r="C12" s="192">
        <v>4481</v>
      </c>
      <c r="D12" s="192">
        <v>5292</v>
      </c>
      <c r="E12" s="192">
        <v>6661</v>
      </c>
      <c r="F12" s="192">
        <v>6951</v>
      </c>
      <c r="G12" s="194">
        <v>6951</v>
      </c>
      <c r="H12" s="194">
        <v>6951</v>
      </c>
      <c r="I12" s="194">
        <v>6951</v>
      </c>
      <c r="J12" s="194">
        <v>6951</v>
      </c>
      <c r="K12" s="194">
        <v>6951</v>
      </c>
      <c r="L12" s="194">
        <v>6951</v>
      </c>
    </row>
    <row r="13" spans="1:17" x14ac:dyDescent="0.25">
      <c r="A13" s="2" t="s">
        <v>79</v>
      </c>
      <c r="B13" s="161"/>
      <c r="C13" s="192">
        <v>17127</v>
      </c>
      <c r="D13" s="192">
        <v>14309</v>
      </c>
      <c r="E13" s="192">
        <v>13730</v>
      </c>
      <c r="F13" s="192">
        <v>13699</v>
      </c>
      <c r="G13" s="194">
        <v>13699</v>
      </c>
      <c r="H13" s="194">
        <v>13699</v>
      </c>
      <c r="I13" s="194">
        <v>13699</v>
      </c>
      <c r="J13" s="194">
        <v>13699</v>
      </c>
      <c r="K13" s="194">
        <v>13699</v>
      </c>
      <c r="L13" s="194">
        <v>13699</v>
      </c>
    </row>
    <row r="14" spans="1:17" x14ac:dyDescent="0.25">
      <c r="B14" s="162" t="s">
        <v>151</v>
      </c>
      <c r="C14" s="192">
        <v>18381</v>
      </c>
      <c r="D14" s="192">
        <v>18202</v>
      </c>
      <c r="E14" s="192">
        <v>17728</v>
      </c>
      <c r="F14" s="192">
        <v>17534</v>
      </c>
      <c r="G14" s="194">
        <v>17534</v>
      </c>
      <c r="H14" s="194">
        <v>17534</v>
      </c>
      <c r="I14" s="194">
        <v>17534</v>
      </c>
      <c r="J14" s="194">
        <v>17534</v>
      </c>
      <c r="K14" s="194">
        <v>17534</v>
      </c>
      <c r="L14" s="194">
        <v>17534</v>
      </c>
    </row>
    <row r="15" spans="1:17" s="145" customFormat="1" x14ac:dyDescent="0.25">
      <c r="A15" s="143"/>
      <c r="B15" s="163" t="s">
        <v>20</v>
      </c>
      <c r="C15" s="195"/>
      <c r="D15" s="195"/>
      <c r="E15" s="195"/>
      <c r="F15" s="195"/>
      <c r="G15" s="196"/>
      <c r="H15" s="195"/>
      <c r="I15" s="195"/>
      <c r="J15" s="195"/>
      <c r="K15" s="195"/>
      <c r="L15" s="195"/>
      <c r="M15" s="164"/>
      <c r="N15" s="164"/>
      <c r="O15" s="164"/>
      <c r="P15" s="164"/>
      <c r="Q15" s="164"/>
    </row>
    <row r="16" spans="1:17" s="7" customFormat="1" x14ac:dyDescent="0.25">
      <c r="A16" s="5"/>
      <c r="B16" s="2" t="s">
        <v>21</v>
      </c>
      <c r="C16" s="192">
        <v>8680</v>
      </c>
      <c r="D16" s="192">
        <v>10163</v>
      </c>
      <c r="E16" s="192">
        <v>10815</v>
      </c>
      <c r="F16" s="192">
        <v>10333</v>
      </c>
      <c r="G16" s="193">
        <f>'Working capital'!F6</f>
        <v>10670.163287671234</v>
      </c>
      <c r="H16" s="193">
        <f>'Working capital'!G6</f>
        <v>11310.373084931509</v>
      </c>
      <c r="I16" s="193">
        <f>'Working capital'!H6</f>
        <v>11988.995470027399</v>
      </c>
      <c r="J16" s="193">
        <f>'Working capital'!I6</f>
        <v>12708.335198229046</v>
      </c>
      <c r="K16" s="193">
        <f>'Working capital'!J6</f>
        <v>13470.835310122786</v>
      </c>
      <c r="L16" s="193">
        <f>'Working capital'!K6</f>
        <v>14279.085428730155</v>
      </c>
      <c r="M16" s="6"/>
      <c r="N16" s="6"/>
      <c r="O16" s="6"/>
      <c r="P16" s="6"/>
      <c r="Q16" s="6"/>
    </row>
    <row r="17" spans="1:17" x14ac:dyDescent="0.25">
      <c r="B17" s="2" t="s">
        <v>22</v>
      </c>
      <c r="C17" s="192">
        <v>4347</v>
      </c>
      <c r="D17" s="192">
        <v>5222</v>
      </c>
      <c r="E17" s="192">
        <v>5334</v>
      </c>
      <c r="F17" s="192">
        <v>5306</v>
      </c>
      <c r="G17" s="193">
        <f ca="1">'Working capital'!F8</f>
        <v>5535.2619178082205</v>
      </c>
      <c r="H17" s="193">
        <f ca="1">'Working capital'!G8</f>
        <v>5867.3776328767135</v>
      </c>
      <c r="I17" s="193">
        <f ca="1">'Working capital'!H8</f>
        <v>6219.4202908493162</v>
      </c>
      <c r="J17" s="193">
        <f ca="1">'Working capital'!I8</f>
        <v>6592.5855083002743</v>
      </c>
      <c r="K17" s="193">
        <f ca="1">'Working capital'!J8</f>
        <v>6988.1406387982925</v>
      </c>
      <c r="L17" s="193">
        <f ca="1">'Working capital'!K8</f>
        <v>7407.4290771261904</v>
      </c>
    </row>
    <row r="18" spans="1:17" x14ac:dyDescent="0.25">
      <c r="B18" s="2" t="s">
        <v>27</v>
      </c>
      <c r="C18" s="192">
        <f>'Cash Flow Statement'!C35</f>
        <v>5596</v>
      </c>
      <c r="D18" s="192">
        <f>'Cash Flow Statement'!D35</f>
        <v>4954</v>
      </c>
      <c r="E18" s="192">
        <f>'Cash Flow Statement'!E35</f>
        <v>9711</v>
      </c>
      <c r="F18" s="192">
        <f>'Cash Flow Statement'!F35</f>
        <v>8505</v>
      </c>
      <c r="G18" s="192">
        <f ca="1">'Cash Flow Statement'!G35</f>
        <v>2638.3724726846922</v>
      </c>
      <c r="H18" s="192">
        <f ca="1">'Cash Flow Statement'!H35</f>
        <v>3318.1074000657827</v>
      </c>
      <c r="I18" s="192">
        <f ca="1">'Cash Flow Statement'!I35</f>
        <v>4140.2766185587734</v>
      </c>
      <c r="J18" s="192">
        <f ca="1">'Cash Flow Statement'!J35</f>
        <v>5104.4084518680593</v>
      </c>
      <c r="K18" s="192">
        <f ca="1">'Cash Flow Statement'!K35</f>
        <v>6210.9497851653869</v>
      </c>
      <c r="L18" s="192">
        <f ca="1">'Cash Flow Statement'!L35</f>
        <v>7461.2217582630601</v>
      </c>
    </row>
    <row r="19" spans="1:17" x14ac:dyDescent="0.25">
      <c r="B19" s="2" t="s">
        <v>117</v>
      </c>
      <c r="C19" s="192">
        <v>392</v>
      </c>
      <c r="D19" s="192">
        <v>394</v>
      </c>
      <c r="E19" s="192">
        <v>292</v>
      </c>
      <c r="F19" s="192">
        <v>761</v>
      </c>
      <c r="G19" s="193">
        <f>'Working capital'!F12</f>
        <v>681.55668000000003</v>
      </c>
      <c r="H19" s="193">
        <f>'Working capital'!G12</f>
        <v>722.45008080000014</v>
      </c>
      <c r="I19" s="193">
        <f>'Working capital'!H12</f>
        <v>765.79708564800012</v>
      </c>
      <c r="J19" s="193">
        <f>'Working capital'!I12</f>
        <v>811.74491078688027</v>
      </c>
      <c r="K19" s="193">
        <f>'Working capital'!J12</f>
        <v>860.44960543409309</v>
      </c>
      <c r="L19" s="193">
        <f>'Working capital'!K12</f>
        <v>912.07658176013877</v>
      </c>
    </row>
    <row r="20" spans="1:17" x14ac:dyDescent="0.25">
      <c r="B20" s="2" t="s">
        <v>76</v>
      </c>
      <c r="C20" s="192">
        <v>1788</v>
      </c>
      <c r="D20" s="192">
        <v>0</v>
      </c>
      <c r="E20" s="192">
        <v>0</v>
      </c>
      <c r="F20" s="192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</row>
    <row r="21" spans="1:17" s="7" customFormat="1" x14ac:dyDescent="0.25">
      <c r="A21" s="5"/>
      <c r="B21" s="2" t="s">
        <v>75</v>
      </c>
      <c r="C21" s="197">
        <v>980</v>
      </c>
      <c r="D21" s="197">
        <v>806</v>
      </c>
      <c r="E21" s="197">
        <v>798</v>
      </c>
      <c r="F21" s="197">
        <v>921</v>
      </c>
      <c r="G21" s="198">
        <f>'Working capital'!F10</f>
        <v>973.65240000000006</v>
      </c>
      <c r="H21" s="198">
        <f>'Working capital'!G10</f>
        <v>1032.0715440000001</v>
      </c>
      <c r="I21" s="198">
        <f>'Working capital'!H10</f>
        <v>1093.9958366400001</v>
      </c>
      <c r="J21" s="198">
        <f>'Working capital'!I10</f>
        <v>1159.6355868384003</v>
      </c>
      <c r="K21" s="198">
        <f>'Working capital'!J10</f>
        <v>1229.2137220487043</v>
      </c>
      <c r="L21" s="198">
        <f>'Working capital'!K10</f>
        <v>1302.9665453716268</v>
      </c>
      <c r="M21" s="8"/>
      <c r="N21" s="8"/>
      <c r="O21" s="8"/>
      <c r="P21" s="8"/>
      <c r="Q21" s="8"/>
    </row>
    <row r="22" spans="1:17" s="145" customFormat="1" ht="13.8" thickBot="1" x14ac:dyDescent="0.3">
      <c r="A22" s="143"/>
      <c r="B22" s="153" t="s">
        <v>28</v>
      </c>
      <c r="C22" s="199">
        <f>SUM(C8:C21)</f>
        <v>92377</v>
      </c>
      <c r="D22" s="199">
        <f>SUM(D8:D21)</f>
        <v>92187</v>
      </c>
      <c r="E22" s="199">
        <f>SUM(E8:E21)</f>
        <v>100495</v>
      </c>
      <c r="F22" s="199">
        <f>SUM(F8:F21)</f>
        <v>99467</v>
      </c>
      <c r="G22" s="199">
        <f t="shared" ref="G22:L22" ca="1" si="0">SUM(G8:G21)</f>
        <v>96734.380652164167</v>
      </c>
      <c r="H22" s="199">
        <f t="shared" ca="1" si="0"/>
        <v>101139.831105444</v>
      </c>
      <c r="I22" s="199">
        <f t="shared" ca="1" si="0"/>
        <v>105825.37560270102</v>
      </c>
      <c r="J22" s="199">
        <f t="shared" ca="1" si="0"/>
        <v>110807.81978657386</v>
      </c>
      <c r="K22" s="199">
        <f t="shared" ca="1" si="0"/>
        <v>116104.97763825949</v>
      </c>
      <c r="L22" s="199">
        <f t="shared" ca="1" si="0"/>
        <v>121735.73197782662</v>
      </c>
      <c r="M22" s="152"/>
      <c r="N22" s="152"/>
      <c r="O22" s="152"/>
      <c r="P22" s="152"/>
      <c r="Q22" s="152"/>
    </row>
    <row r="23" spans="1:17" s="155" customFormat="1" ht="13.8" thickTop="1" x14ac:dyDescent="0.25">
      <c r="A23" s="85"/>
      <c r="B23" s="154" t="s">
        <v>19</v>
      </c>
      <c r="C23" s="200"/>
      <c r="D23" s="200"/>
      <c r="E23" s="200"/>
      <c r="F23" s="200"/>
      <c r="G23" s="201"/>
      <c r="H23" s="200"/>
      <c r="I23" s="200"/>
      <c r="J23" s="200"/>
      <c r="K23" s="200"/>
      <c r="L23" s="200"/>
    </row>
    <row r="24" spans="1:17" x14ac:dyDescent="0.25">
      <c r="B24" s="20" t="s">
        <v>127</v>
      </c>
      <c r="C24" s="192"/>
      <c r="D24" s="192"/>
      <c r="E24" s="192"/>
      <c r="F24" s="192"/>
      <c r="G24" s="202"/>
      <c r="H24" s="194"/>
      <c r="I24" s="194"/>
      <c r="J24" s="194"/>
      <c r="K24" s="194"/>
      <c r="L24" s="194"/>
    </row>
    <row r="25" spans="1:17" x14ac:dyDescent="0.25">
      <c r="B25" s="2" t="s">
        <v>150</v>
      </c>
      <c r="C25" s="192">
        <v>4001</v>
      </c>
      <c r="D25" s="192">
        <v>4134</v>
      </c>
      <c r="E25" s="192">
        <v>4261</v>
      </c>
      <c r="F25" s="192">
        <v>4385</v>
      </c>
      <c r="G25" s="194">
        <v>4385</v>
      </c>
      <c r="H25" s="194">
        <v>4385</v>
      </c>
      <c r="I25" s="194">
        <v>4385</v>
      </c>
      <c r="J25" s="194">
        <v>4385</v>
      </c>
      <c r="K25" s="194">
        <v>4385</v>
      </c>
      <c r="L25" s="194">
        <v>4385</v>
      </c>
    </row>
    <row r="26" spans="1:17" s="7" customFormat="1" x14ac:dyDescent="0.25">
      <c r="A26" s="5"/>
      <c r="B26" s="2" t="s">
        <v>152</v>
      </c>
      <c r="C26" s="203">
        <v>23</v>
      </c>
      <c r="D26" s="203">
        <v>23</v>
      </c>
      <c r="E26" s="203">
        <v>23</v>
      </c>
      <c r="F26" s="203">
        <v>23</v>
      </c>
      <c r="G26" s="204">
        <v>23</v>
      </c>
      <c r="H26" s="204">
        <v>23</v>
      </c>
      <c r="I26" s="204">
        <v>23</v>
      </c>
      <c r="J26" s="204">
        <v>23</v>
      </c>
      <c r="K26" s="204">
        <v>23</v>
      </c>
      <c r="L26" s="204">
        <v>23</v>
      </c>
      <c r="M26" s="17"/>
      <c r="N26" s="17"/>
      <c r="O26" s="17"/>
      <c r="P26" s="17"/>
      <c r="Q26" s="17"/>
    </row>
    <row r="27" spans="1:17" x14ac:dyDescent="0.25">
      <c r="B27" s="2" t="s">
        <v>25</v>
      </c>
      <c r="C27" s="192">
        <f>65165</f>
        <v>65165</v>
      </c>
      <c r="D27" s="192">
        <v>67800</v>
      </c>
      <c r="E27" s="192">
        <v>70035</v>
      </c>
      <c r="F27" s="192">
        <v>72266</v>
      </c>
      <c r="G27" s="193">
        <f ca="1">'Shareholders equity'!F15</f>
        <v>74927.48059736962</v>
      </c>
      <c r="H27" s="193">
        <f ca="1">'Shareholders equity'!G15</f>
        <v>77764.417047361814</v>
      </c>
      <c r="I27" s="193">
        <f ca="1">'Shareholders equity'!H15</f>
        <v>80787.336701133929</v>
      </c>
      <c r="J27" s="193">
        <f ca="1">'Shareholders equity'!I15</f>
        <v>84007.398550912738</v>
      </c>
      <c r="K27" s="193">
        <f ca="1">'Shareholders equity'!J15</f>
        <v>87436.431128458673</v>
      </c>
      <c r="L27" s="193">
        <f ca="1">'Shareholders equity'!K15</f>
        <v>91086.972677437749</v>
      </c>
    </row>
    <row r="28" spans="1:17" x14ac:dyDescent="0.25">
      <c r="B28" s="2" t="s">
        <v>169</v>
      </c>
      <c r="C28" s="192">
        <v>-14898</v>
      </c>
      <c r="D28" s="192">
        <v>-15302</v>
      </c>
      <c r="E28" s="192">
        <v>-15534</v>
      </c>
      <c r="F28" s="192">
        <v>-17612</v>
      </c>
      <c r="G28" s="194">
        <v>-17612</v>
      </c>
      <c r="H28" s="194">
        <v>-17612</v>
      </c>
      <c r="I28" s="194">
        <v>-17612</v>
      </c>
      <c r="J28" s="194">
        <v>-17612</v>
      </c>
      <c r="K28" s="194">
        <v>-17612</v>
      </c>
      <c r="L28" s="194">
        <v>-17612</v>
      </c>
    </row>
    <row r="29" spans="1:17" ht="26.4" x14ac:dyDescent="0.25">
      <c r="B29" s="167" t="s">
        <v>128</v>
      </c>
      <c r="C29" s="192">
        <v>-38248</v>
      </c>
      <c r="D29" s="192">
        <v>-39506</v>
      </c>
      <c r="E29" s="192">
        <v>-40282</v>
      </c>
      <c r="F29" s="192">
        <v>-41021</v>
      </c>
      <c r="G29" s="205">
        <v>-41021</v>
      </c>
      <c r="H29" s="205">
        <v>-41021</v>
      </c>
      <c r="I29" s="205">
        <v>-41021</v>
      </c>
      <c r="J29" s="205">
        <v>-41021</v>
      </c>
      <c r="K29" s="205">
        <v>-41021</v>
      </c>
      <c r="L29" s="205">
        <v>-41021</v>
      </c>
    </row>
    <row r="30" spans="1:17" x14ac:dyDescent="0.25">
      <c r="B30" s="167" t="s">
        <v>129</v>
      </c>
      <c r="C30" s="192">
        <v>108</v>
      </c>
      <c r="D30" s="192">
        <v>124</v>
      </c>
      <c r="E30" s="192">
        <v>134</v>
      </c>
      <c r="F30" s="192">
        <v>130</v>
      </c>
      <c r="G30" s="194">
        <v>130</v>
      </c>
      <c r="H30" s="194">
        <v>130</v>
      </c>
      <c r="I30" s="194">
        <v>130</v>
      </c>
      <c r="J30" s="194">
        <v>130</v>
      </c>
      <c r="K30" s="194">
        <v>130</v>
      </c>
      <c r="L30" s="194">
        <v>130</v>
      </c>
    </row>
    <row r="31" spans="1:17" s="147" customFormat="1" x14ac:dyDescent="0.25">
      <c r="A31" s="146"/>
      <c r="B31" s="150" t="s">
        <v>84</v>
      </c>
      <c r="C31" s="206">
        <f>SUM(C25:C30)</f>
        <v>16151</v>
      </c>
      <c r="D31" s="206">
        <f t="shared" ref="D31:F31" si="1">SUM(D25:D30)</f>
        <v>17273</v>
      </c>
      <c r="E31" s="206">
        <f t="shared" si="1"/>
        <v>18637</v>
      </c>
      <c r="F31" s="206">
        <f t="shared" si="1"/>
        <v>18171</v>
      </c>
      <c r="G31" s="206">
        <f t="shared" ref="G31" ca="1" si="2">SUM(G25:G30)</f>
        <v>20832.48059736962</v>
      </c>
      <c r="H31" s="206">
        <f t="shared" ref="H31" ca="1" si="3">SUM(H25:H30)</f>
        <v>23669.417047361814</v>
      </c>
      <c r="I31" s="206">
        <f t="shared" ref="I31" ca="1" si="4">SUM(I25:I30)</f>
        <v>26692.336701133929</v>
      </c>
      <c r="J31" s="206">
        <f t="shared" ref="J31" ca="1" si="5">SUM(J25:J30)</f>
        <v>29912.398550912738</v>
      </c>
      <c r="K31" s="206">
        <f t="shared" ref="K31" ca="1" si="6">SUM(K25:K30)</f>
        <v>33341.431128458673</v>
      </c>
      <c r="L31" s="206">
        <f t="shared" ref="L31" ca="1" si="7">SUM(L25:L30)</f>
        <v>36991.972677437749</v>
      </c>
    </row>
    <row r="32" spans="1:17" x14ac:dyDescent="0.25">
      <c r="B32" s="2" t="s">
        <v>26</v>
      </c>
      <c r="C32" s="192">
        <v>36026</v>
      </c>
      <c r="D32" s="192">
        <v>35657</v>
      </c>
      <c r="E32" s="192">
        <v>37595</v>
      </c>
      <c r="F32" s="192">
        <v>37224</v>
      </c>
      <c r="G32" s="192">
        <f>'Debt Schedule'!G19</f>
        <v>37224</v>
      </c>
      <c r="H32" s="192">
        <f>'Debt Schedule'!H19</f>
        <v>37224</v>
      </c>
      <c r="I32" s="192">
        <f>'Debt Schedule'!I19</f>
        <v>37224</v>
      </c>
      <c r="J32" s="192">
        <f>'Debt Schedule'!J19</f>
        <v>37224</v>
      </c>
      <c r="K32" s="192">
        <f>'Debt Schedule'!K19</f>
        <v>37224</v>
      </c>
      <c r="L32" s="192">
        <f>'Debt Schedule'!L19</f>
        <v>37224</v>
      </c>
    </row>
    <row r="33" spans="1:17" x14ac:dyDescent="0.25">
      <c r="A33" s="2" t="s">
        <v>81</v>
      </c>
      <c r="B33" s="2" t="s">
        <v>195</v>
      </c>
      <c r="C33" s="192">
        <v>9154</v>
      </c>
      <c r="D33" s="192">
        <v>8339</v>
      </c>
      <c r="E33" s="192">
        <v>8721</v>
      </c>
      <c r="F33" s="192">
        <v>9052</v>
      </c>
      <c r="G33" s="194">
        <v>9052</v>
      </c>
      <c r="H33" s="194">
        <v>9052</v>
      </c>
      <c r="I33" s="194">
        <v>9052</v>
      </c>
      <c r="J33" s="194">
        <v>9052</v>
      </c>
      <c r="K33" s="194">
        <v>9052</v>
      </c>
      <c r="L33" s="194">
        <v>9052</v>
      </c>
    </row>
    <row r="34" spans="1:17" x14ac:dyDescent="0.25">
      <c r="B34" s="2" t="s">
        <v>80</v>
      </c>
      <c r="C34" s="192">
        <v>4826</v>
      </c>
      <c r="D34" s="192">
        <v>4133</v>
      </c>
      <c r="E34" s="192">
        <v>3895</v>
      </c>
      <c r="F34" s="192">
        <v>3484</v>
      </c>
      <c r="G34" s="194">
        <v>3484</v>
      </c>
      <c r="H34" s="194">
        <v>3484</v>
      </c>
      <c r="I34" s="194">
        <v>3484</v>
      </c>
      <c r="J34" s="194">
        <v>3484</v>
      </c>
      <c r="K34" s="194">
        <v>3484</v>
      </c>
      <c r="L34" s="194">
        <v>3484</v>
      </c>
    </row>
    <row r="35" spans="1:17" s="7" customFormat="1" x14ac:dyDescent="0.25">
      <c r="A35" s="5"/>
      <c r="B35" s="16" t="s">
        <v>23</v>
      </c>
      <c r="C35" s="197"/>
      <c r="D35" s="197"/>
      <c r="E35" s="197"/>
      <c r="F35" s="197"/>
      <c r="G35" s="198"/>
      <c r="H35" s="197"/>
      <c r="I35" s="197"/>
      <c r="J35" s="197"/>
      <c r="K35" s="197"/>
      <c r="L35" s="197"/>
      <c r="M35" s="8"/>
      <c r="N35" s="8"/>
      <c r="O35" s="8"/>
      <c r="P35" s="8"/>
      <c r="Q35" s="8"/>
    </row>
    <row r="36" spans="1:17" s="7" customFormat="1" x14ac:dyDescent="0.25">
      <c r="A36" s="5"/>
      <c r="B36" s="2" t="s">
        <v>24</v>
      </c>
      <c r="C36" s="192">
        <v>21159</v>
      </c>
      <c r="D36" s="192">
        <v>23371</v>
      </c>
      <c r="E36" s="192">
        <v>25137</v>
      </c>
      <c r="F36" s="192">
        <v>24454</v>
      </c>
      <c r="G36" s="193">
        <f>'Working capital'!F16</f>
        <v>26141.900054794525</v>
      </c>
      <c r="H36" s="193">
        <f>'Working capital'!G16</f>
        <v>27710.414058082195</v>
      </c>
      <c r="I36" s="193">
        <f>'Working capital'!H16</f>
        <v>29373.038901567128</v>
      </c>
      <c r="J36" s="193">
        <f>'Working capital'!I16</f>
        <v>31135.421235661157</v>
      </c>
      <c r="K36" s="193">
        <f>'Working capital'!J16</f>
        <v>33003.546509800828</v>
      </c>
      <c r="L36" s="193">
        <f>'Working capital'!K16</f>
        <v>34983.759300388883</v>
      </c>
      <c r="M36" s="6"/>
      <c r="N36" s="6"/>
      <c r="O36" s="6"/>
      <c r="P36" s="6"/>
      <c r="Q36" s="6"/>
    </row>
    <row r="37" spans="1:17" x14ac:dyDescent="0.25">
      <c r="B37" s="2" t="s">
        <v>82</v>
      </c>
      <c r="C37" s="192">
        <v>4308</v>
      </c>
      <c r="D37" s="192">
        <v>3414</v>
      </c>
      <c r="E37" s="192">
        <v>6510</v>
      </c>
      <c r="F37" s="192">
        <v>7082</v>
      </c>
      <c r="G37" s="192"/>
      <c r="H37" s="192"/>
      <c r="I37" s="192"/>
      <c r="J37" s="192"/>
      <c r="K37" s="192"/>
      <c r="L37" s="192"/>
    </row>
    <row r="38" spans="1:17" x14ac:dyDescent="0.25">
      <c r="B38" s="2" t="s">
        <v>162</v>
      </c>
      <c r="C38" s="192"/>
      <c r="D38" s="192"/>
      <c r="E38" s="192"/>
      <c r="F38" s="192"/>
      <c r="G38" s="192">
        <f ca="1">'Debt Schedule'!G26</f>
        <v>0</v>
      </c>
      <c r="H38" s="192">
        <f ca="1">'Debt Schedule'!H26</f>
        <v>0</v>
      </c>
      <c r="I38" s="192">
        <f ca="1">'Debt Schedule'!I26</f>
        <v>0</v>
      </c>
      <c r="J38" s="192">
        <f ca="1">'Debt Schedule'!J26</f>
        <v>0</v>
      </c>
      <c r="K38" s="192">
        <f ca="1">'Debt Schedule'!K26</f>
        <v>0</v>
      </c>
      <c r="L38" s="192">
        <f ca="1">'Debt Schedule'!L26</f>
        <v>0</v>
      </c>
    </row>
    <row r="39" spans="1:17" x14ac:dyDescent="0.25">
      <c r="B39" s="2" t="s">
        <v>83</v>
      </c>
      <c r="C39" s="192">
        <v>753</v>
      </c>
      <c r="D39" s="192">
        <v>0</v>
      </c>
      <c r="E39" s="192">
        <v>0</v>
      </c>
      <c r="F39" s="192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</row>
    <row r="40" spans="1:17" s="147" customFormat="1" ht="13.8" thickBot="1" x14ac:dyDescent="0.3">
      <c r="A40" s="146"/>
      <c r="B40" s="151" t="s">
        <v>29</v>
      </c>
      <c r="C40" s="199">
        <f>SUM(C32:C39)</f>
        <v>76226</v>
      </c>
      <c r="D40" s="199">
        <f>SUM(D32:D39)</f>
        <v>74914</v>
      </c>
      <c r="E40" s="199">
        <f>SUM(E32:E39)</f>
        <v>81858</v>
      </c>
      <c r="F40" s="199">
        <f>SUM(F32:F39)</f>
        <v>81296</v>
      </c>
      <c r="G40" s="199">
        <f ca="1">SUM(G32:G38)</f>
        <v>75901.900054794532</v>
      </c>
      <c r="H40" s="199">
        <f ca="1">SUM(H32:H39)</f>
        <v>77470.414058082199</v>
      </c>
      <c r="I40" s="199">
        <f ca="1">SUM(I32:I39)</f>
        <v>79133.038901567124</v>
      </c>
      <c r="J40" s="199">
        <f ca="1">SUM(J32:J39)</f>
        <v>80895.421235661153</v>
      </c>
      <c r="K40" s="199">
        <f ca="1">SUM(K32:K39)</f>
        <v>82763.546509800828</v>
      </c>
      <c r="L40" s="199">
        <f ca="1">SUM(L32:L39)</f>
        <v>84743.759300388891</v>
      </c>
      <c r="M40" s="152"/>
      <c r="N40" s="152"/>
      <c r="O40" s="152"/>
      <c r="P40" s="152"/>
      <c r="Q40" s="152"/>
    </row>
    <row r="41" spans="1:17" s="27" customFormat="1" ht="13.8" thickTop="1" x14ac:dyDescent="0.25">
      <c r="A41" s="26"/>
      <c r="B41" s="77" t="s">
        <v>85</v>
      </c>
      <c r="C41" s="207">
        <f>SUM(C40+C31)</f>
        <v>92377</v>
      </c>
      <c r="D41" s="207">
        <f>SUM(D40+D31)</f>
        <v>92187</v>
      </c>
      <c r="E41" s="207">
        <f>SUM(E40+E31)</f>
        <v>100495</v>
      </c>
      <c r="F41" s="207">
        <f>SUM(F40+F31)</f>
        <v>99467</v>
      </c>
      <c r="G41" s="207">
        <f t="shared" ref="G41:L41" ca="1" si="8">SUM(G40+G31)</f>
        <v>96734.380652164153</v>
      </c>
      <c r="H41" s="207">
        <f t="shared" ca="1" si="8"/>
        <v>101139.83110544401</v>
      </c>
      <c r="I41" s="207">
        <f t="shared" ca="1" si="8"/>
        <v>105825.37560270105</v>
      </c>
      <c r="J41" s="207">
        <f t="shared" ca="1" si="8"/>
        <v>110807.81978657389</v>
      </c>
      <c r="K41" s="207">
        <f t="shared" ca="1" si="8"/>
        <v>116104.9776382595</v>
      </c>
      <c r="L41" s="207">
        <f t="shared" ca="1" si="8"/>
        <v>121735.73197782664</v>
      </c>
    </row>
    <row r="42" spans="1:17" x14ac:dyDescent="0.25">
      <c r="B42" s="13"/>
      <c r="C42" s="192"/>
      <c r="D42" s="192"/>
      <c r="E42" s="192"/>
      <c r="F42" s="192"/>
      <c r="G42" s="208"/>
      <c r="H42" s="192"/>
      <c r="I42" s="192"/>
      <c r="J42" s="192"/>
      <c r="K42" s="192"/>
      <c r="L42" s="192"/>
    </row>
    <row r="43" spans="1:17" x14ac:dyDescent="0.25">
      <c r="B43" s="21"/>
      <c r="C43" s="192">
        <f>C22-C41</f>
        <v>0</v>
      </c>
      <c r="D43" s="192">
        <f t="shared" ref="D43:L43" si="9">D22-D41</f>
        <v>0</v>
      </c>
      <c r="E43" s="192">
        <f t="shared" si="9"/>
        <v>0</v>
      </c>
      <c r="F43" s="192">
        <f t="shared" si="9"/>
        <v>0</v>
      </c>
      <c r="G43" s="192">
        <f t="shared" ca="1" si="9"/>
        <v>0</v>
      </c>
      <c r="H43" s="192">
        <f t="shared" ca="1" si="9"/>
        <v>0</v>
      </c>
      <c r="I43" s="192">
        <f t="shared" ca="1" si="9"/>
        <v>0</v>
      </c>
      <c r="J43" s="192">
        <f t="shared" ca="1" si="9"/>
        <v>0</v>
      </c>
      <c r="K43" s="192">
        <f t="shared" ca="1" si="9"/>
        <v>0</v>
      </c>
      <c r="L43" s="192">
        <f t="shared" ca="1" si="9"/>
        <v>0</v>
      </c>
    </row>
    <row r="44" spans="1:17" x14ac:dyDescent="0.25">
      <c r="B44" s="23"/>
      <c r="C44" s="78"/>
      <c r="D44" s="78"/>
      <c r="E44" s="78"/>
      <c r="F44" s="8"/>
      <c r="G44" s="9"/>
    </row>
    <row r="45" spans="1:17" ht="4.95" customHeight="1" x14ac:dyDescent="0.25">
      <c r="B45" s="25"/>
    </row>
    <row r="46" spans="1:17" x14ac:dyDescent="0.25">
      <c r="B46" s="23"/>
    </row>
    <row r="47" spans="1:17" s="7" customFormat="1" x14ac:dyDescent="0.25">
      <c r="A47" s="5"/>
      <c r="B47" s="23"/>
      <c r="C47" s="78"/>
      <c r="D47" s="78"/>
      <c r="E47" s="78"/>
      <c r="F47" s="8"/>
      <c r="G47" s="9"/>
    </row>
    <row r="48" spans="1:17" s="123" customFormat="1" ht="4.95" customHeight="1" x14ac:dyDescent="0.25">
      <c r="A48" s="121"/>
      <c r="B48" s="122"/>
      <c r="C48" s="184"/>
      <c r="D48" s="184"/>
      <c r="E48" s="184"/>
      <c r="F48" s="9"/>
      <c r="G48" s="9"/>
    </row>
    <row r="49" spans="1:17" s="91" customFormat="1" x14ac:dyDescent="0.25">
      <c r="A49" s="87"/>
      <c r="B49" s="124"/>
      <c r="C49" s="185"/>
      <c r="D49" s="185"/>
      <c r="E49" s="185"/>
    </row>
    <row r="50" spans="1:17" s="91" customFormat="1" x14ac:dyDescent="0.25">
      <c r="A50" s="87"/>
      <c r="B50" s="125"/>
      <c r="C50" s="185"/>
      <c r="D50" s="185"/>
      <c r="E50" s="185"/>
    </row>
    <row r="51" spans="1:17" s="91" customFormat="1" x14ac:dyDescent="0.25">
      <c r="A51" s="87"/>
      <c r="B51" s="126"/>
      <c r="C51" s="184"/>
      <c r="D51" s="184"/>
      <c r="E51" s="184"/>
      <c r="F51" s="9"/>
      <c r="G51" s="9"/>
    </row>
    <row r="52" spans="1:17" s="91" customFormat="1" x14ac:dyDescent="0.25">
      <c r="A52" s="87"/>
      <c r="B52" s="127"/>
      <c r="C52" s="186"/>
      <c r="D52" s="186"/>
      <c r="E52" s="186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128"/>
    </row>
    <row r="53" spans="1:17" s="91" customFormat="1" x14ac:dyDescent="0.25">
      <c r="A53" s="87"/>
      <c r="B53" s="129"/>
      <c r="C53" s="185"/>
      <c r="D53" s="185"/>
      <c r="E53" s="185"/>
      <c r="Q53" s="130"/>
    </row>
    <row r="54" spans="1:17" s="91" customFormat="1" x14ac:dyDescent="0.25">
      <c r="A54" s="87"/>
      <c r="B54" s="122"/>
      <c r="C54" s="187"/>
      <c r="D54" s="187"/>
      <c r="E54" s="187"/>
      <c r="F54" s="131"/>
      <c r="G54" s="93"/>
      <c r="H54" s="132"/>
      <c r="I54" s="133"/>
      <c r="J54" s="133"/>
      <c r="K54" s="133"/>
      <c r="L54" s="133"/>
      <c r="M54" s="133"/>
      <c r="N54" s="133"/>
      <c r="O54" s="133"/>
      <c r="P54" s="133"/>
      <c r="Q54" s="133"/>
    </row>
    <row r="55" spans="1:17" s="91" customFormat="1" x14ac:dyDescent="0.25">
      <c r="A55" s="87"/>
      <c r="B55" s="134"/>
      <c r="C55" s="185"/>
      <c r="D55" s="185"/>
      <c r="E55" s="185"/>
      <c r="F55" s="135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136"/>
    </row>
    <row r="56" spans="1:17" s="91" customFormat="1" x14ac:dyDescent="0.25">
      <c r="A56" s="87"/>
      <c r="B56" s="134"/>
      <c r="C56" s="185"/>
      <c r="D56" s="185"/>
      <c r="E56" s="185"/>
      <c r="F56" s="135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136"/>
    </row>
    <row r="57" spans="1:17" s="91" customFormat="1" x14ac:dyDescent="0.25">
      <c r="A57" s="87"/>
      <c r="B57" s="124"/>
      <c r="C57" s="188"/>
      <c r="D57" s="188"/>
      <c r="E57" s="188"/>
      <c r="F57" s="137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138"/>
    </row>
    <row r="58" spans="1:17" s="7" customFormat="1" x14ac:dyDescent="0.25">
      <c r="A58" s="5"/>
      <c r="B58" s="12"/>
      <c r="C58" s="78"/>
      <c r="D58" s="78"/>
      <c r="E58" s="78"/>
      <c r="F58" s="8"/>
      <c r="G58" s="9"/>
    </row>
    <row r="59" spans="1:17" s="7" customFormat="1" x14ac:dyDescent="0.25">
      <c r="A59" s="5"/>
      <c r="B59" s="12"/>
      <c r="C59" s="78"/>
      <c r="D59" s="78"/>
      <c r="E59" s="78"/>
      <c r="F59" s="8"/>
      <c r="G59" s="9"/>
    </row>
  </sheetData>
  <phoneticPr fontId="6" type="noConversion"/>
  <pageMargins left="0.75" right="0.75" top="1" bottom="1" header="0.3" footer="0.3"/>
  <pageSetup paperSize="9" scale="45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6F2C-45D3-48B9-A930-0D30250A6B37}">
  <sheetPr>
    <tabColor theme="3" tint="0.39997558519241921"/>
  </sheetPr>
  <dimension ref="A1:K17"/>
  <sheetViews>
    <sheetView workbookViewId="0">
      <selection activeCell="B15" sqref="B15"/>
    </sheetView>
  </sheetViews>
  <sheetFormatPr defaultRowHeight="14.4" x14ac:dyDescent="0.3"/>
  <cols>
    <col min="1" max="1" width="30.77734375" customWidth="1"/>
  </cols>
  <sheetData>
    <row r="1" spans="1:11" x14ac:dyDescent="0.3">
      <c r="B1" s="102" t="str">
        <f>'Income Statement'!C4</f>
        <v>FY 2021</v>
      </c>
      <c r="C1" s="102" t="str">
        <f>'Income Statement'!D4</f>
        <v>FY 2022</v>
      </c>
      <c r="D1" s="102" t="str">
        <f>'Income Statement'!E4</f>
        <v>FY 2023</v>
      </c>
      <c r="E1" s="102" t="str">
        <f>'Income Statement'!F4</f>
        <v>FY 2024</v>
      </c>
      <c r="F1" s="101" t="str">
        <f>'Income Statement'!G4</f>
        <v>FY 2025 E</v>
      </c>
      <c r="G1" s="101" t="str">
        <f>'Income Statement'!H4</f>
        <v>FY 2026(E)</v>
      </c>
      <c r="H1" s="101" t="str">
        <f>'Income Statement'!I4</f>
        <v>FY 2027E</v>
      </c>
      <c r="I1" s="101" t="str">
        <f>'Income Statement'!J4</f>
        <v>FY 2028 E</v>
      </c>
      <c r="J1" s="101" t="str">
        <f>'Income Statement'!K4</f>
        <v>FY 2029 E</v>
      </c>
      <c r="K1" s="101" t="str">
        <f>'Income Statement'!L4</f>
        <v>FY 2030 E</v>
      </c>
    </row>
    <row r="2" spans="1:11" x14ac:dyDescent="0.3">
      <c r="A2" t="s">
        <v>137</v>
      </c>
      <c r="B2">
        <f>'Balance Sheet'!C26</f>
        <v>23</v>
      </c>
      <c r="C2">
        <f>'Balance Sheet'!D26</f>
        <v>23</v>
      </c>
      <c r="D2">
        <f>'Balance Sheet'!E26</f>
        <v>23</v>
      </c>
      <c r="E2">
        <f>'Balance Sheet'!F26</f>
        <v>23</v>
      </c>
      <c r="F2" s="109">
        <f>'Balance Sheet'!G26</f>
        <v>23</v>
      </c>
      <c r="G2" s="109">
        <f>'Balance Sheet'!H26</f>
        <v>23</v>
      </c>
      <c r="H2" s="109">
        <f>'Balance Sheet'!I26</f>
        <v>23</v>
      </c>
      <c r="I2" s="109">
        <f>'Balance Sheet'!J26</f>
        <v>23</v>
      </c>
      <c r="J2" s="109">
        <f>'Balance Sheet'!K26</f>
        <v>23</v>
      </c>
      <c r="K2" s="109">
        <f>'Balance Sheet'!L26</f>
        <v>23</v>
      </c>
    </row>
    <row r="3" spans="1:11" x14ac:dyDescent="0.3">
      <c r="A3" s="2" t="s">
        <v>150</v>
      </c>
      <c r="B3">
        <f>'Balance Sheet'!C25</f>
        <v>4001</v>
      </c>
      <c r="C3">
        <f>'Balance Sheet'!D25</f>
        <v>4134</v>
      </c>
      <c r="D3">
        <f>'Balance Sheet'!E25</f>
        <v>4261</v>
      </c>
      <c r="E3">
        <f>'Balance Sheet'!F25</f>
        <v>4385</v>
      </c>
      <c r="F3" s="109">
        <f>'Balance Sheet'!G25</f>
        <v>4385</v>
      </c>
      <c r="G3" s="109">
        <f>'Balance Sheet'!H25</f>
        <v>4385</v>
      </c>
      <c r="H3" s="109">
        <f>'Balance Sheet'!I25</f>
        <v>4385</v>
      </c>
      <c r="I3" s="109">
        <f>'Balance Sheet'!J25</f>
        <v>4385</v>
      </c>
      <c r="J3" s="109">
        <f>'Balance Sheet'!K25</f>
        <v>4385</v>
      </c>
      <c r="K3" s="109">
        <f>'Balance Sheet'!L25</f>
        <v>4385</v>
      </c>
    </row>
    <row r="4" spans="1:11" x14ac:dyDescent="0.3">
      <c r="A4" s="2" t="s">
        <v>169</v>
      </c>
      <c r="B4">
        <f>'Balance Sheet'!C28</f>
        <v>-14898</v>
      </c>
      <c r="C4">
        <f>'Balance Sheet'!D28</f>
        <v>-15302</v>
      </c>
      <c r="D4">
        <f>'Balance Sheet'!E28</f>
        <v>-15534</v>
      </c>
      <c r="E4">
        <f>'Balance Sheet'!F28</f>
        <v>-17612</v>
      </c>
      <c r="F4" s="109">
        <f>'Balance Sheet'!G28</f>
        <v>-17612</v>
      </c>
      <c r="G4" s="109">
        <f>'Balance Sheet'!H28</f>
        <v>-17612</v>
      </c>
      <c r="H4" s="109">
        <f>'Balance Sheet'!I28</f>
        <v>-17612</v>
      </c>
      <c r="I4" s="109">
        <f>'Balance Sheet'!J28</f>
        <v>-17612</v>
      </c>
      <c r="J4" s="109">
        <f>'Balance Sheet'!K28</f>
        <v>-17612</v>
      </c>
      <c r="K4" s="109">
        <f>'Balance Sheet'!L28</f>
        <v>-17612</v>
      </c>
    </row>
    <row r="5" spans="1:11" ht="40.200000000000003" x14ac:dyDescent="0.3">
      <c r="A5" s="167" t="s">
        <v>128</v>
      </c>
      <c r="B5">
        <f>'Balance Sheet'!C29</f>
        <v>-38248</v>
      </c>
      <c r="C5">
        <f>'Balance Sheet'!D29</f>
        <v>-39506</v>
      </c>
      <c r="D5">
        <f>'Balance Sheet'!E29</f>
        <v>-40282</v>
      </c>
      <c r="E5">
        <f>'Balance Sheet'!F29</f>
        <v>-41021</v>
      </c>
      <c r="F5" s="109">
        <f>'Balance Sheet'!G29</f>
        <v>-41021</v>
      </c>
      <c r="G5" s="109">
        <f>'Balance Sheet'!H29</f>
        <v>-41021</v>
      </c>
      <c r="H5" s="109">
        <f>'Balance Sheet'!I29</f>
        <v>-41021</v>
      </c>
      <c r="I5" s="109">
        <f>'Balance Sheet'!J29</f>
        <v>-41021</v>
      </c>
      <c r="J5" s="109">
        <f>'Balance Sheet'!K29</f>
        <v>-41021</v>
      </c>
      <c r="K5" s="109">
        <f>'Balance Sheet'!L29</f>
        <v>-41021</v>
      </c>
    </row>
    <row r="6" spans="1:11" x14ac:dyDescent="0.3">
      <c r="A6" s="167" t="s">
        <v>129</v>
      </c>
      <c r="B6">
        <f>'Balance Sheet'!C30</f>
        <v>108</v>
      </c>
      <c r="C6">
        <f>'Balance Sheet'!D30</f>
        <v>124</v>
      </c>
      <c r="D6">
        <f>'Balance Sheet'!E30</f>
        <v>134</v>
      </c>
      <c r="E6">
        <f>'Balance Sheet'!F30</f>
        <v>130</v>
      </c>
      <c r="F6" s="109">
        <f>'Balance Sheet'!G30</f>
        <v>130</v>
      </c>
      <c r="G6" s="109">
        <f>'Balance Sheet'!H30</f>
        <v>130</v>
      </c>
      <c r="H6" s="109">
        <f>'Balance Sheet'!I30</f>
        <v>130</v>
      </c>
      <c r="I6" s="109">
        <f>'Balance Sheet'!J30</f>
        <v>130</v>
      </c>
      <c r="J6" s="109">
        <f>'Balance Sheet'!K30</f>
        <v>130</v>
      </c>
      <c r="K6" s="109">
        <f>'Balance Sheet'!L30</f>
        <v>130</v>
      </c>
    </row>
    <row r="7" spans="1:11" x14ac:dyDescent="0.3">
      <c r="A7" t="s">
        <v>138</v>
      </c>
      <c r="B7">
        <f>SUM(B2:B6)</f>
        <v>-49014</v>
      </c>
      <c r="C7">
        <f t="shared" ref="C7:K7" si="0">SUM(C2:C6)</f>
        <v>-50527</v>
      </c>
      <c r="D7">
        <f t="shared" si="0"/>
        <v>-51398</v>
      </c>
      <c r="E7">
        <f t="shared" si="0"/>
        <v>-54095</v>
      </c>
      <c r="F7">
        <f t="shared" si="0"/>
        <v>-54095</v>
      </c>
      <c r="G7">
        <f t="shared" si="0"/>
        <v>-54095</v>
      </c>
      <c r="H7">
        <f t="shared" si="0"/>
        <v>-54095</v>
      </c>
      <c r="I7">
        <f t="shared" si="0"/>
        <v>-54095</v>
      </c>
      <c r="J7">
        <f t="shared" si="0"/>
        <v>-54095</v>
      </c>
      <c r="K7">
        <f t="shared" si="0"/>
        <v>-54095</v>
      </c>
    </row>
    <row r="9" spans="1:11" x14ac:dyDescent="0.3">
      <c r="A9" s="103" t="s">
        <v>126</v>
      </c>
    </row>
    <row r="11" spans="1:11" x14ac:dyDescent="0.3">
      <c r="A11" t="s">
        <v>170</v>
      </c>
      <c r="C11">
        <f>B15</f>
        <v>65165</v>
      </c>
      <c r="D11">
        <f t="shared" ref="D11:K11" si="1">C15</f>
        <v>67800</v>
      </c>
      <c r="E11">
        <f t="shared" si="1"/>
        <v>70035</v>
      </c>
      <c r="F11">
        <f t="shared" si="1"/>
        <v>72266</v>
      </c>
      <c r="G11">
        <f t="shared" ca="1" si="1"/>
        <v>74927.48059736962</v>
      </c>
      <c r="H11">
        <f t="shared" ca="1" si="1"/>
        <v>77764.417047361814</v>
      </c>
      <c r="I11">
        <f t="shared" ca="1" si="1"/>
        <v>80787.336701133929</v>
      </c>
      <c r="J11">
        <f t="shared" ca="1" si="1"/>
        <v>84007.398550912738</v>
      </c>
      <c r="K11">
        <f t="shared" ca="1" si="1"/>
        <v>87436.431128458673</v>
      </c>
    </row>
    <row r="12" spans="1:11" x14ac:dyDescent="0.3">
      <c r="A12" t="s">
        <v>171</v>
      </c>
      <c r="F12">
        <f ca="1">'Income Statement'!G31</f>
        <v>10688.115239999996</v>
      </c>
      <c r="G12">
        <f ca="1">'Income Statement'!H31</f>
        <v>11392.720178399999</v>
      </c>
      <c r="H12">
        <f ca="1">'Income Statement'!I31</f>
        <v>12139.601413104008</v>
      </c>
      <c r="I12">
        <f ca="1">'Income Statement'!J31</f>
        <v>12931.29552189025</v>
      </c>
      <c r="J12">
        <f ca="1">'Income Statement'!K31</f>
        <v>13770.491277203662</v>
      </c>
      <c r="K12">
        <f ca="1">'Income Statement'!L31</f>
        <v>14660.038777835878</v>
      </c>
    </row>
    <row r="13" spans="1:11" x14ac:dyDescent="0.3">
      <c r="A13" t="s">
        <v>172</v>
      </c>
      <c r="F13">
        <f ca="1">'Cash Flow Statement'!G28</f>
        <v>-8026.6346426303735</v>
      </c>
      <c r="G13">
        <f ca="1">'Cash Flow Statement'!H28</f>
        <v>-8555.7837284078105</v>
      </c>
      <c r="H13">
        <f ca="1">'Cash Flow Statement'!I28</f>
        <v>-9116.6817593319047</v>
      </c>
      <c r="I13">
        <f ca="1">'Cash Flow Statement'!J28</f>
        <v>-9711.2336721114443</v>
      </c>
      <c r="J13">
        <f ca="1">'Cash Flow Statement'!K28</f>
        <v>-10341.458699657725</v>
      </c>
      <c r="K13">
        <f ca="1">'Cash Flow Statement'!L28</f>
        <v>-11009.497228856801</v>
      </c>
    </row>
    <row r="14" spans="1:11" x14ac:dyDescent="0.3">
      <c r="A14" t="s">
        <v>131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s="63" customFormat="1" x14ac:dyDescent="0.3">
      <c r="A15" s="63" t="s">
        <v>130</v>
      </c>
      <c r="B15" s="63">
        <f>'Balance Sheet'!C27</f>
        <v>65165</v>
      </c>
      <c r="C15" s="63">
        <f>'Balance Sheet'!D27</f>
        <v>67800</v>
      </c>
      <c r="D15" s="63">
        <f>'Balance Sheet'!E27</f>
        <v>70035</v>
      </c>
      <c r="E15" s="63">
        <f>'Balance Sheet'!F27</f>
        <v>72266</v>
      </c>
      <c r="F15" s="63">
        <f ca="1">SUM(F11:F13)</f>
        <v>74927.48059736962</v>
      </c>
      <c r="G15" s="63">
        <f t="shared" ref="G15:K15" ca="1" si="2">SUM(G11:G13)</f>
        <v>77764.417047361814</v>
      </c>
      <c r="H15" s="63">
        <f t="shared" ca="1" si="2"/>
        <v>80787.336701133929</v>
      </c>
      <c r="I15" s="63">
        <f t="shared" ca="1" si="2"/>
        <v>84007.398550912738</v>
      </c>
      <c r="J15" s="63">
        <f t="shared" ca="1" si="2"/>
        <v>87436.431128458673</v>
      </c>
      <c r="K15" s="63">
        <f t="shared" ca="1" si="2"/>
        <v>91086.972677437749</v>
      </c>
    </row>
    <row r="17" spans="1:11" s="190" customFormat="1" x14ac:dyDescent="0.3">
      <c r="A17" s="190" t="s">
        <v>84</v>
      </c>
      <c r="B17" s="190">
        <f>B7+B15</f>
        <v>16151</v>
      </c>
      <c r="C17" s="190">
        <f t="shared" ref="C17:K17" si="3">C7+C15</f>
        <v>17273</v>
      </c>
      <c r="D17" s="190">
        <f t="shared" si="3"/>
        <v>18637</v>
      </c>
      <c r="E17" s="190">
        <f t="shared" si="3"/>
        <v>18171</v>
      </c>
      <c r="F17" s="190">
        <f t="shared" ca="1" si="3"/>
        <v>20832.48059736962</v>
      </c>
      <c r="G17" s="190">
        <f t="shared" ca="1" si="3"/>
        <v>23669.417047361814</v>
      </c>
      <c r="H17" s="190">
        <f t="shared" ca="1" si="3"/>
        <v>26692.336701133929</v>
      </c>
      <c r="I17" s="190">
        <f t="shared" ca="1" si="3"/>
        <v>29912.398550912738</v>
      </c>
      <c r="J17" s="190">
        <f t="shared" ca="1" si="3"/>
        <v>33341.431128458673</v>
      </c>
      <c r="K17" s="190">
        <f t="shared" ca="1" si="3"/>
        <v>36991.972677437749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96CB-D9A4-460C-A96D-D3D10D700F24}">
  <sheetPr>
    <tabColor theme="3" tint="0.39997558519241921"/>
  </sheetPr>
  <dimension ref="A1:V28"/>
  <sheetViews>
    <sheetView workbookViewId="0">
      <selection activeCell="O22" sqref="O22"/>
    </sheetView>
  </sheetViews>
  <sheetFormatPr defaultRowHeight="14.4" x14ac:dyDescent="0.3"/>
  <cols>
    <col min="1" max="1" width="18.88671875" style="105" customWidth="1"/>
    <col min="2" max="6" width="12.21875" bestFit="1" customWidth="1"/>
    <col min="7" max="11" width="12.5546875" bestFit="1" customWidth="1"/>
    <col min="13" max="13" width="20.6640625" style="117" customWidth="1"/>
  </cols>
  <sheetData>
    <row r="1" spans="1:22" s="99" customFormat="1" x14ac:dyDescent="0.3">
      <c r="A1" s="103"/>
      <c r="B1" s="217" t="str">
        <f>'Income Statement'!C4</f>
        <v>FY 2021</v>
      </c>
      <c r="C1" s="217" t="str">
        <f>'Income Statement'!D4</f>
        <v>FY 2022</v>
      </c>
      <c r="D1" s="217" t="str">
        <f>'Income Statement'!E4</f>
        <v>FY 2023</v>
      </c>
      <c r="E1" s="217" t="str">
        <f>'Income Statement'!F4</f>
        <v>FY 2024</v>
      </c>
      <c r="F1" s="99" t="str">
        <f>'Income Statement'!G4</f>
        <v>FY 2025 E</v>
      </c>
      <c r="G1" s="99" t="str">
        <f>'Income Statement'!H4</f>
        <v>FY 2026(E)</v>
      </c>
      <c r="H1" s="99" t="str">
        <f>'Income Statement'!I4</f>
        <v>FY 2027E</v>
      </c>
      <c r="I1" s="99" t="str">
        <f>'Income Statement'!J4</f>
        <v>FY 2028 E</v>
      </c>
      <c r="J1" s="99" t="str">
        <f>'Income Statement'!K4</f>
        <v>FY 2029 E</v>
      </c>
      <c r="K1" s="99" t="str">
        <f>'Income Statement'!L4</f>
        <v>FY 2030 E</v>
      </c>
      <c r="M1" s="117"/>
    </row>
    <row r="2" spans="1:22" s="100" customFormat="1" x14ac:dyDescent="0.3">
      <c r="A2" s="104"/>
      <c r="M2" s="117"/>
    </row>
    <row r="3" spans="1:22" s="101" customFormat="1" x14ac:dyDescent="0.3">
      <c r="A3" s="105" t="s">
        <v>3</v>
      </c>
      <c r="B3" s="111">
        <f>'Income Statement'!C6</f>
        <v>79474</v>
      </c>
      <c r="C3" s="111">
        <f>'Income Statement'!D6</f>
        <v>86392</v>
      </c>
      <c r="D3" s="111">
        <f>'Income Statement'!E6</f>
        <v>91471</v>
      </c>
      <c r="E3" s="111">
        <f>'Income Statement'!F6</f>
        <v>91854</v>
      </c>
      <c r="F3" s="111">
        <f>'Income Statement'!G6</f>
        <v>97365.24</v>
      </c>
      <c r="G3" s="111">
        <f>'Income Statement'!H6</f>
        <v>103207.15440000001</v>
      </c>
      <c r="H3" s="111">
        <f>'Income Statement'!I6</f>
        <v>109399.58366400002</v>
      </c>
      <c r="I3" s="111">
        <f>'Income Statement'!J6</f>
        <v>115963.55868384003</v>
      </c>
      <c r="J3" s="111">
        <f>'Income Statement'!K6</f>
        <v>122921.37220487044</v>
      </c>
      <c r="K3" s="111">
        <f>'Income Statement'!L6</f>
        <v>130296.65453716267</v>
      </c>
      <c r="M3" s="117"/>
      <c r="N3" s="101" t="s">
        <v>261</v>
      </c>
      <c r="O3" s="101" t="s">
        <v>262</v>
      </c>
      <c r="P3" s="101" t="s">
        <v>263</v>
      </c>
      <c r="Q3" s="101" t="s">
        <v>264</v>
      </c>
    </row>
    <row r="4" spans="1:22" s="100" customFormat="1" x14ac:dyDescent="0.3">
      <c r="A4" s="105" t="s">
        <v>103</v>
      </c>
      <c r="B4" s="112">
        <f>'Income Statement'!C9</f>
        <v>-37075</v>
      </c>
      <c r="C4" s="112">
        <f>'Income Statement'!D9</f>
        <v>-40576</v>
      </c>
      <c r="D4" s="112">
        <f>'Income Statement'!E9</f>
        <v>-41881</v>
      </c>
      <c r="E4" s="112">
        <f>'Income Statement'!F9</f>
        <v>-41744</v>
      </c>
      <c r="F4" s="112">
        <f ca="1">'Income Statement'!G9</f>
        <v>-43921.100000000006</v>
      </c>
      <c r="G4" s="112">
        <f ca="1">'Income Statement'!H9</f>
        <v>-46556.366000000009</v>
      </c>
      <c r="H4" s="112">
        <f ca="1">'Income Statement'!I9</f>
        <v>-49349.747960000001</v>
      </c>
      <c r="I4" s="112">
        <f ca="1">'Income Statement'!J9</f>
        <v>-52310.732837600008</v>
      </c>
      <c r="J4" s="112">
        <f ca="1">'Income Statement'!K9</f>
        <v>-55449.376807856017</v>
      </c>
      <c r="K4" s="112">
        <f ca="1">'Income Statement'!L9</f>
        <v>-58776.339416327377</v>
      </c>
      <c r="M4" s="117"/>
    </row>
    <row r="5" spans="1:22" x14ac:dyDescent="0.3">
      <c r="B5" s="113"/>
      <c r="C5" s="113"/>
      <c r="D5" s="113"/>
      <c r="E5" s="113"/>
      <c r="F5" s="113"/>
      <c r="G5" s="113"/>
      <c r="H5" s="113"/>
      <c r="I5" s="113"/>
      <c r="J5" s="113"/>
      <c r="K5" s="113"/>
      <c r="N5" s="100"/>
      <c r="O5" s="100"/>
      <c r="P5" s="100"/>
      <c r="Q5" s="100"/>
      <c r="R5" s="100"/>
      <c r="S5" s="100"/>
      <c r="T5" s="100"/>
      <c r="U5" s="100"/>
      <c r="V5" s="100"/>
    </row>
    <row r="6" spans="1:22" x14ac:dyDescent="0.3">
      <c r="A6" s="105" t="s">
        <v>104</v>
      </c>
      <c r="B6" s="113">
        <f>'Balance Sheet'!C16</f>
        <v>8680</v>
      </c>
      <c r="C6" s="113">
        <f>'Balance Sheet'!D16</f>
        <v>10163</v>
      </c>
      <c r="D6" s="113">
        <f>'Balance Sheet'!E16</f>
        <v>10815</v>
      </c>
      <c r="E6" s="113">
        <f>'Balance Sheet'!F16</f>
        <v>10333</v>
      </c>
      <c r="F6" s="113">
        <f>F3*F7/365</f>
        <v>10670.163287671234</v>
      </c>
      <c r="G6" s="113">
        <f t="shared" ref="G6:K6" si="0">G3*G7/365</f>
        <v>11310.373084931509</v>
      </c>
      <c r="H6" s="113">
        <f t="shared" si="0"/>
        <v>11988.995470027399</v>
      </c>
      <c r="I6" s="113">
        <f t="shared" si="0"/>
        <v>12708.335198229046</v>
      </c>
      <c r="J6" s="113">
        <f t="shared" si="0"/>
        <v>13470.835310122786</v>
      </c>
      <c r="K6" s="113">
        <f t="shared" si="0"/>
        <v>14279.085428730155</v>
      </c>
      <c r="M6" s="117" t="s">
        <v>108</v>
      </c>
      <c r="N6" s="112">
        <f>B6/B3*365</f>
        <v>39.864609809497445</v>
      </c>
      <c r="O6" s="112">
        <f>(C6/C3)*365</f>
        <v>42.937945643115107</v>
      </c>
      <c r="P6" s="112">
        <f>(D6/D3)*365</f>
        <v>43.155480972111377</v>
      </c>
      <c r="Q6" s="112">
        <f>(E6/E3)*365</f>
        <v>41.060215124001132</v>
      </c>
      <c r="R6" s="100"/>
      <c r="S6" s="100"/>
      <c r="T6" s="100"/>
      <c r="U6" s="100"/>
      <c r="V6" s="100"/>
    </row>
    <row r="7" spans="1:22" x14ac:dyDescent="0.3">
      <c r="A7" s="105" t="s">
        <v>112</v>
      </c>
      <c r="B7" s="113">
        <f>N6</f>
        <v>39.864609809497445</v>
      </c>
      <c r="C7" s="113">
        <f t="shared" ref="C7:E7" si="1">O6</f>
        <v>42.937945643115107</v>
      </c>
      <c r="D7" s="113">
        <f t="shared" si="1"/>
        <v>43.155480972111377</v>
      </c>
      <c r="E7" s="113">
        <f t="shared" si="1"/>
        <v>41.060215124001132</v>
      </c>
      <c r="F7" s="114">
        <v>40</v>
      </c>
      <c r="G7" s="114">
        <v>40</v>
      </c>
      <c r="H7" s="114">
        <v>40</v>
      </c>
      <c r="I7" s="114">
        <v>40</v>
      </c>
      <c r="J7" s="114">
        <v>40</v>
      </c>
      <c r="K7" s="114">
        <v>40</v>
      </c>
      <c r="N7" s="112"/>
      <c r="O7" s="112"/>
      <c r="P7" s="112"/>
      <c r="Q7" s="112"/>
      <c r="R7" s="100"/>
      <c r="S7" s="100"/>
      <c r="T7" s="100"/>
      <c r="U7" s="100"/>
      <c r="V7" s="100"/>
    </row>
    <row r="8" spans="1:22" x14ac:dyDescent="0.3">
      <c r="A8" s="105" t="s">
        <v>22</v>
      </c>
      <c r="B8" s="113">
        <f>'Balance Sheet'!C17</f>
        <v>4347</v>
      </c>
      <c r="C8" s="113">
        <f>'Balance Sheet'!D17</f>
        <v>5222</v>
      </c>
      <c r="D8" s="113">
        <f>'Balance Sheet'!E17</f>
        <v>5334</v>
      </c>
      <c r="E8" s="113">
        <f>'Balance Sheet'!F17</f>
        <v>5306</v>
      </c>
      <c r="F8" s="113">
        <f t="shared" ref="F8:K8" ca="1" si="2">(F4*F9/365)*-1</f>
        <v>5535.2619178082205</v>
      </c>
      <c r="G8" s="113">
        <f t="shared" ca="1" si="2"/>
        <v>5867.3776328767135</v>
      </c>
      <c r="H8" s="113">
        <f t="shared" ca="1" si="2"/>
        <v>6219.4202908493162</v>
      </c>
      <c r="I8" s="113">
        <f t="shared" ca="1" si="2"/>
        <v>6592.5855083002743</v>
      </c>
      <c r="J8" s="113">
        <f t="shared" ca="1" si="2"/>
        <v>6988.1406387982925</v>
      </c>
      <c r="K8" s="113">
        <f t="shared" ca="1" si="2"/>
        <v>7407.4290771261904</v>
      </c>
      <c r="M8" s="117" t="s">
        <v>109</v>
      </c>
      <c r="N8" s="112">
        <f>(B8/B4*365)*-1</f>
        <v>42.795819285232632</v>
      </c>
      <c r="O8" s="112">
        <f>(C8/C4*365)*-1</f>
        <v>46.974319794952677</v>
      </c>
      <c r="P8" s="112">
        <f>(D8/D4*365)*-1</f>
        <v>46.486712351663044</v>
      </c>
      <c r="Q8" s="112">
        <f>(E8/E4*365)*-1</f>
        <v>46.394451897278657</v>
      </c>
      <c r="R8" s="100"/>
      <c r="S8" s="100"/>
      <c r="T8" s="100"/>
      <c r="U8" s="100"/>
      <c r="V8" s="100"/>
    </row>
    <row r="9" spans="1:22" x14ac:dyDescent="0.3">
      <c r="A9" s="105" t="s">
        <v>113</v>
      </c>
      <c r="B9" s="113">
        <f>N8</f>
        <v>42.795819285232632</v>
      </c>
      <c r="C9" s="113">
        <f t="shared" ref="C9:E9" si="3">O8</f>
        <v>46.974319794952677</v>
      </c>
      <c r="D9" s="113">
        <f t="shared" si="3"/>
        <v>46.486712351663044</v>
      </c>
      <c r="E9" s="113">
        <f t="shared" si="3"/>
        <v>46.394451897278657</v>
      </c>
      <c r="F9" s="114">
        <v>46</v>
      </c>
      <c r="G9" s="114">
        <v>46</v>
      </c>
      <c r="H9" s="114">
        <v>46</v>
      </c>
      <c r="I9" s="114">
        <v>46</v>
      </c>
      <c r="J9" s="114">
        <v>46</v>
      </c>
      <c r="K9" s="114">
        <v>46</v>
      </c>
      <c r="N9" s="112"/>
      <c r="O9" s="112"/>
      <c r="P9" s="112"/>
      <c r="Q9" s="112"/>
      <c r="R9" s="100"/>
      <c r="S9" s="100"/>
      <c r="T9" s="100"/>
      <c r="U9" s="100"/>
      <c r="V9" s="100"/>
    </row>
    <row r="10" spans="1:22" x14ac:dyDescent="0.3">
      <c r="A10" s="105" t="s">
        <v>105</v>
      </c>
      <c r="B10" s="113">
        <f>'Balance Sheet'!C21</f>
        <v>980</v>
      </c>
      <c r="C10" s="113">
        <f>'Balance Sheet'!D21</f>
        <v>806</v>
      </c>
      <c r="D10" s="113">
        <f>'Balance Sheet'!E21</f>
        <v>798</v>
      </c>
      <c r="E10" s="113">
        <f>'Balance Sheet'!F21</f>
        <v>921</v>
      </c>
      <c r="F10" s="113">
        <f>F3*F11</f>
        <v>973.65240000000006</v>
      </c>
      <c r="G10" s="113">
        <f t="shared" ref="G10:K10" si="4">G3*G11</f>
        <v>1032.0715440000001</v>
      </c>
      <c r="H10" s="113">
        <f t="shared" si="4"/>
        <v>1093.9958366400001</v>
      </c>
      <c r="I10" s="113">
        <f t="shared" si="4"/>
        <v>1159.6355868384003</v>
      </c>
      <c r="J10" s="113">
        <f t="shared" si="4"/>
        <v>1229.2137220487043</v>
      </c>
      <c r="K10" s="113">
        <f t="shared" si="4"/>
        <v>1302.9665453716268</v>
      </c>
      <c r="M10" s="117" t="s">
        <v>111</v>
      </c>
      <c r="N10" s="106">
        <f>B10/B3</f>
        <v>1.2331076830158291E-2</v>
      </c>
      <c r="O10" s="106">
        <f>C10/C3</f>
        <v>9.3295675525511615E-3</v>
      </c>
      <c r="P10" s="106">
        <f>D10/D3</f>
        <v>8.724076483256989E-3</v>
      </c>
      <c r="Q10" s="106">
        <f>E10/E3</f>
        <v>1.0026781631719904E-2</v>
      </c>
      <c r="R10" s="100"/>
      <c r="S10" s="100"/>
      <c r="T10" s="100"/>
      <c r="U10" s="100"/>
      <c r="V10" s="100"/>
    </row>
    <row r="11" spans="1:22" s="108" customFormat="1" x14ac:dyDescent="0.3">
      <c r="A11" s="116" t="s">
        <v>114</v>
      </c>
      <c r="B11" s="108">
        <f>N10</f>
        <v>1.2331076830158291E-2</v>
      </c>
      <c r="C11" s="108">
        <f t="shared" ref="C11:E11" si="5">O10</f>
        <v>9.3295675525511615E-3</v>
      </c>
      <c r="D11" s="108">
        <f t="shared" si="5"/>
        <v>8.724076483256989E-3</v>
      </c>
      <c r="E11" s="108">
        <f t="shared" si="5"/>
        <v>1.0026781631719904E-2</v>
      </c>
      <c r="F11" s="110">
        <v>0.01</v>
      </c>
      <c r="G11" s="110">
        <v>0.01</v>
      </c>
      <c r="H11" s="110">
        <v>0.01</v>
      </c>
      <c r="I11" s="110">
        <v>0.01</v>
      </c>
      <c r="J11" s="110">
        <v>0.01</v>
      </c>
      <c r="K11" s="110">
        <v>0.01</v>
      </c>
      <c r="M11" s="118"/>
      <c r="N11" s="106"/>
      <c r="O11" s="106"/>
      <c r="P11" s="106"/>
      <c r="Q11" s="106"/>
      <c r="R11" s="106"/>
      <c r="S11" s="106"/>
      <c r="T11" s="106"/>
      <c r="U11" s="106"/>
      <c r="V11" s="106"/>
    </row>
    <row r="12" spans="1:22" x14ac:dyDescent="0.3">
      <c r="A12" s="105" t="s">
        <v>106</v>
      </c>
      <c r="B12" s="113">
        <f>'Balance Sheet'!C19</f>
        <v>392</v>
      </c>
      <c r="C12" s="113">
        <f>'Balance Sheet'!D19</f>
        <v>394</v>
      </c>
      <c r="D12" s="113">
        <f>'Balance Sheet'!E19</f>
        <v>292</v>
      </c>
      <c r="E12" s="113">
        <f>'Balance Sheet'!F19</f>
        <v>761</v>
      </c>
      <c r="F12" s="113">
        <f>F3*F13</f>
        <v>681.55668000000003</v>
      </c>
      <c r="G12" s="113">
        <f t="shared" ref="G12:K12" si="6">G3*G13</f>
        <v>722.45008080000014</v>
      </c>
      <c r="H12" s="113">
        <f t="shared" si="6"/>
        <v>765.79708564800012</v>
      </c>
      <c r="I12" s="113">
        <f t="shared" si="6"/>
        <v>811.74491078688027</v>
      </c>
      <c r="J12" s="113">
        <f t="shared" si="6"/>
        <v>860.44960543409309</v>
      </c>
      <c r="K12" s="113">
        <f t="shared" si="6"/>
        <v>912.07658176013877</v>
      </c>
      <c r="M12" s="117" t="s">
        <v>110</v>
      </c>
      <c r="N12" s="106">
        <f>B12/B3</f>
        <v>4.932430732063316E-3</v>
      </c>
      <c r="O12" s="106">
        <f>C12/C3</f>
        <v>4.5606074636540418E-3</v>
      </c>
      <c r="P12" s="106">
        <f>D12/D3</f>
        <v>3.1922685878584471E-3</v>
      </c>
      <c r="Q12" s="106">
        <f>E12/E3</f>
        <v>8.2848868857099307E-3</v>
      </c>
      <c r="R12" s="100"/>
      <c r="S12" s="100"/>
      <c r="T12" s="100"/>
      <c r="U12" s="100"/>
      <c r="V12" s="100"/>
    </row>
    <row r="13" spans="1:22" x14ac:dyDescent="0.3">
      <c r="A13" s="105" t="s">
        <v>115</v>
      </c>
      <c r="B13" s="113">
        <f>N12</f>
        <v>4.932430732063316E-3</v>
      </c>
      <c r="C13" s="113">
        <f t="shared" ref="C13:E13" si="7">O12</f>
        <v>4.5606074636540418E-3</v>
      </c>
      <c r="D13" s="113">
        <f t="shared" si="7"/>
        <v>3.1922685878584471E-3</v>
      </c>
      <c r="E13" s="113">
        <f t="shared" si="7"/>
        <v>8.2848868857099307E-3</v>
      </c>
      <c r="F13" s="110">
        <v>7.0000000000000001E-3</v>
      </c>
      <c r="G13" s="110">
        <v>7.0000000000000001E-3</v>
      </c>
      <c r="H13" s="110">
        <v>7.0000000000000001E-3</v>
      </c>
      <c r="I13" s="110">
        <v>7.0000000000000001E-3</v>
      </c>
      <c r="J13" s="110">
        <v>7.0000000000000001E-3</v>
      </c>
      <c r="K13" s="110">
        <v>7.0000000000000001E-3</v>
      </c>
      <c r="N13" s="100"/>
      <c r="O13" s="100"/>
      <c r="P13" s="100"/>
      <c r="Q13" s="100"/>
      <c r="R13" s="100"/>
      <c r="S13" s="100"/>
      <c r="T13" s="100"/>
      <c r="U13" s="100"/>
      <c r="V13" s="100"/>
    </row>
    <row r="14" spans="1:22" s="63" customFormat="1" x14ac:dyDescent="0.3">
      <c r="A14" s="105" t="s">
        <v>107</v>
      </c>
      <c r="B14" s="115">
        <f>B6+B8+B10+B12</f>
        <v>14399</v>
      </c>
      <c r="C14" s="115">
        <f t="shared" ref="C14:K14" si="8">C6+C8+C10+C12</f>
        <v>16585</v>
      </c>
      <c r="D14" s="115">
        <f t="shared" si="8"/>
        <v>17239</v>
      </c>
      <c r="E14" s="115">
        <f t="shared" si="8"/>
        <v>17321</v>
      </c>
      <c r="F14" s="115">
        <f t="shared" ca="1" si="8"/>
        <v>17860.634285479457</v>
      </c>
      <c r="G14" s="115">
        <f t="shared" ca="1" si="8"/>
        <v>18932.272342608223</v>
      </c>
      <c r="H14" s="115">
        <f t="shared" ca="1" si="8"/>
        <v>20068.208683164714</v>
      </c>
      <c r="I14" s="115">
        <f t="shared" ca="1" si="8"/>
        <v>21272.301204154603</v>
      </c>
      <c r="J14" s="115">
        <f t="shared" ca="1" si="8"/>
        <v>22548.639276403876</v>
      </c>
      <c r="K14" s="115">
        <f t="shared" ca="1" si="8"/>
        <v>23901.557632988111</v>
      </c>
      <c r="M14" s="119"/>
      <c r="N14" s="104"/>
      <c r="O14" s="104"/>
      <c r="P14" s="104"/>
      <c r="Q14" s="104"/>
      <c r="R14" s="104"/>
      <c r="S14" s="104"/>
      <c r="T14" s="104"/>
      <c r="U14" s="104"/>
      <c r="V14" s="104"/>
    </row>
    <row r="15" spans="1:22" x14ac:dyDescent="0.3"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N15" s="100"/>
      <c r="O15" s="100"/>
      <c r="P15" s="100"/>
      <c r="Q15" s="100"/>
      <c r="R15" s="100"/>
      <c r="S15" s="100"/>
      <c r="T15" s="100"/>
      <c r="U15" s="100"/>
      <c r="V15" s="100"/>
    </row>
    <row r="16" spans="1:22" ht="28.8" x14ac:dyDescent="0.3">
      <c r="A16" s="107" t="s">
        <v>163</v>
      </c>
      <c r="B16" s="113">
        <f>'Balance Sheet'!C36</f>
        <v>21159</v>
      </c>
      <c r="C16" s="113">
        <f>'Balance Sheet'!D36</f>
        <v>23371</v>
      </c>
      <c r="D16" s="113">
        <f>'Balance Sheet'!E36</f>
        <v>25137</v>
      </c>
      <c r="E16" s="113">
        <f>'Balance Sheet'!F36</f>
        <v>24454</v>
      </c>
      <c r="F16" s="113">
        <f>F3*F17/365</f>
        <v>26141.900054794525</v>
      </c>
      <c r="G16" s="113">
        <f t="shared" ref="G16:K16" si="9">G3*G17/365</f>
        <v>27710.414058082195</v>
      </c>
      <c r="H16" s="113">
        <f t="shared" si="9"/>
        <v>29373.038901567128</v>
      </c>
      <c r="I16" s="113">
        <f t="shared" si="9"/>
        <v>31135.421235661157</v>
      </c>
      <c r="J16" s="113">
        <f t="shared" si="9"/>
        <v>33003.546509800828</v>
      </c>
      <c r="K16" s="113">
        <f t="shared" si="9"/>
        <v>34983.759300388883</v>
      </c>
      <c r="M16" s="117" t="s">
        <v>164</v>
      </c>
      <c r="N16" s="112">
        <f>B16/B3*365</f>
        <v>97.176875456124009</v>
      </c>
      <c r="O16" s="112">
        <f>C16/C3*365</f>
        <v>98.740797759051759</v>
      </c>
      <c r="P16" s="112">
        <f>D16/D3*365</f>
        <v>100.30506936624722</v>
      </c>
      <c r="Q16" s="112">
        <f>E16/E3*365</f>
        <v>97.172795958804187</v>
      </c>
      <c r="R16" s="100"/>
      <c r="S16" s="100"/>
      <c r="T16" s="100"/>
      <c r="U16" s="100"/>
      <c r="V16" s="100"/>
    </row>
    <row r="17" spans="1:22" x14ac:dyDescent="0.3">
      <c r="A17" s="105" t="s">
        <v>116</v>
      </c>
      <c r="B17" s="113">
        <f>N16</f>
        <v>97.176875456124009</v>
      </c>
      <c r="C17" s="113">
        <f t="shared" ref="C17:E17" si="10">O16</f>
        <v>98.740797759051759</v>
      </c>
      <c r="D17" s="113">
        <f t="shared" si="10"/>
        <v>100.30506936624722</v>
      </c>
      <c r="E17" s="113">
        <f t="shared" si="10"/>
        <v>97.172795958804187</v>
      </c>
      <c r="F17" s="114">
        <v>98</v>
      </c>
      <c r="G17" s="114">
        <v>98</v>
      </c>
      <c r="H17" s="114">
        <v>98</v>
      </c>
      <c r="I17" s="114">
        <v>98</v>
      </c>
      <c r="J17" s="114">
        <v>98</v>
      </c>
      <c r="K17" s="114">
        <v>98</v>
      </c>
      <c r="N17" s="100"/>
      <c r="O17" s="100"/>
      <c r="P17" s="100"/>
      <c r="Q17" s="100"/>
      <c r="R17" s="100"/>
      <c r="S17" s="100"/>
      <c r="T17" s="100"/>
      <c r="U17" s="100"/>
      <c r="V17" s="100"/>
    </row>
    <row r="18" spans="1:22" x14ac:dyDescent="0.3"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N18" s="100"/>
      <c r="O18" s="100"/>
      <c r="P18" s="100"/>
      <c r="Q18" s="100"/>
      <c r="R18" s="100"/>
      <c r="S18" s="100"/>
      <c r="T18" s="100"/>
      <c r="U18" s="100"/>
      <c r="V18" s="100"/>
    </row>
    <row r="19" spans="1:22" s="63" customFormat="1" x14ac:dyDescent="0.3">
      <c r="A19" s="105" t="s">
        <v>118</v>
      </c>
      <c r="B19" s="115">
        <f>B16</f>
        <v>21159</v>
      </c>
      <c r="C19" s="115">
        <f t="shared" ref="C19:K19" si="11">C16</f>
        <v>23371</v>
      </c>
      <c r="D19" s="115">
        <f t="shared" si="11"/>
        <v>25137</v>
      </c>
      <c r="E19" s="115">
        <f t="shared" si="11"/>
        <v>24454</v>
      </c>
      <c r="F19" s="115">
        <f t="shared" si="11"/>
        <v>26141.900054794525</v>
      </c>
      <c r="G19" s="115">
        <f t="shared" si="11"/>
        <v>27710.414058082195</v>
      </c>
      <c r="H19" s="115">
        <f t="shared" si="11"/>
        <v>29373.038901567128</v>
      </c>
      <c r="I19" s="115">
        <f t="shared" si="11"/>
        <v>31135.421235661157</v>
      </c>
      <c r="J19" s="115">
        <f t="shared" si="11"/>
        <v>33003.546509800828</v>
      </c>
      <c r="K19" s="115">
        <f t="shared" si="11"/>
        <v>34983.759300388883</v>
      </c>
      <c r="M19" s="119"/>
      <c r="N19" s="104"/>
      <c r="O19" s="104"/>
      <c r="P19" s="104"/>
      <c r="Q19" s="104"/>
      <c r="R19" s="104"/>
      <c r="S19" s="104"/>
      <c r="T19" s="104"/>
      <c r="U19" s="104"/>
      <c r="V19" s="104"/>
    </row>
    <row r="20" spans="1:22" x14ac:dyDescent="0.3">
      <c r="A20" s="105" t="s">
        <v>120</v>
      </c>
      <c r="B20" s="113">
        <f>B14-B19</f>
        <v>-6760</v>
      </c>
      <c r="C20" s="113">
        <f t="shared" ref="C20:K20" si="12">C14-C19</f>
        <v>-6786</v>
      </c>
      <c r="D20" s="113">
        <f t="shared" si="12"/>
        <v>-7898</v>
      </c>
      <c r="E20" s="113">
        <f t="shared" si="12"/>
        <v>-7133</v>
      </c>
      <c r="F20" s="113">
        <f t="shared" ca="1" si="12"/>
        <v>-8281.2657693150686</v>
      </c>
      <c r="G20" s="113">
        <f t="shared" ca="1" si="12"/>
        <v>-8778.141715473972</v>
      </c>
      <c r="H20" s="113">
        <f t="shared" ca="1" si="12"/>
        <v>-9304.8302184024142</v>
      </c>
      <c r="I20" s="113">
        <f t="shared" ca="1" si="12"/>
        <v>-9863.1200315065544</v>
      </c>
      <c r="J20" s="113">
        <f t="shared" ca="1" si="12"/>
        <v>-10454.907233396953</v>
      </c>
      <c r="K20" s="113">
        <f t="shared" ca="1" si="12"/>
        <v>-11082.201667400772</v>
      </c>
      <c r="N20" s="100"/>
      <c r="O20" s="100"/>
      <c r="P20" s="100"/>
      <c r="Q20" s="100"/>
      <c r="R20" s="100"/>
      <c r="S20" s="100"/>
      <c r="T20" s="100"/>
      <c r="U20" s="100"/>
      <c r="V20" s="100"/>
    </row>
    <row r="21" spans="1:22" x14ac:dyDescent="0.3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N21" s="100"/>
      <c r="O21" s="100"/>
      <c r="P21" s="100"/>
      <c r="Q21" s="100"/>
      <c r="R21" s="100"/>
      <c r="S21" s="100"/>
      <c r="T21" s="100"/>
      <c r="U21" s="100"/>
      <c r="V21" s="100"/>
    </row>
    <row r="22" spans="1:22" s="63" customFormat="1" x14ac:dyDescent="0.3">
      <c r="A22" s="105" t="s">
        <v>119</v>
      </c>
      <c r="B22" s="115"/>
      <c r="C22" s="115">
        <f>(B14-C14)+(C19-B19)</f>
        <v>26</v>
      </c>
      <c r="D22" s="115">
        <f t="shared" ref="D22:K22" si="13">(C14-D14)+(D19-C19)</f>
        <v>1112</v>
      </c>
      <c r="E22" s="115">
        <f t="shared" si="13"/>
        <v>-765</v>
      </c>
      <c r="F22" s="115">
        <f t="shared" ca="1" si="13"/>
        <v>1148.2657693150686</v>
      </c>
      <c r="G22" s="115">
        <f t="shared" ca="1" si="13"/>
        <v>496.87594615890339</v>
      </c>
      <c r="H22" s="115">
        <f t="shared" ca="1" si="13"/>
        <v>526.68850292844218</v>
      </c>
      <c r="I22" s="115">
        <f t="shared" ca="1" si="13"/>
        <v>558.28981310414019</v>
      </c>
      <c r="J22" s="115">
        <f t="shared" ca="1" si="13"/>
        <v>591.78720189039814</v>
      </c>
      <c r="K22" s="115">
        <f t="shared" ca="1" si="13"/>
        <v>627.29443400381933</v>
      </c>
      <c r="M22" s="119"/>
      <c r="N22" s="104"/>
      <c r="O22" s="104"/>
      <c r="P22" s="104"/>
      <c r="Q22" s="104"/>
      <c r="R22" s="104"/>
      <c r="S22" s="104"/>
      <c r="T22" s="104"/>
      <c r="U22" s="104"/>
      <c r="V22" s="104"/>
    </row>
    <row r="23" spans="1:22" x14ac:dyDescent="0.3"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N23" s="100"/>
      <c r="O23" s="100"/>
      <c r="P23" s="100"/>
      <c r="Q23" s="100"/>
      <c r="R23" s="100"/>
      <c r="S23" s="100"/>
      <c r="T23" s="100"/>
      <c r="U23" s="100"/>
      <c r="V23" s="100"/>
    </row>
    <row r="24" spans="1:22" x14ac:dyDescent="0.3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N24" s="100"/>
      <c r="O24" s="100"/>
      <c r="P24" s="100"/>
      <c r="Q24" s="100"/>
      <c r="R24" s="100"/>
      <c r="S24" s="100"/>
      <c r="T24" s="100"/>
      <c r="U24" s="100"/>
      <c r="V24" s="100"/>
    </row>
    <row r="25" spans="1:22" x14ac:dyDescent="0.3">
      <c r="N25" s="100"/>
      <c r="O25" s="100"/>
      <c r="P25" s="100"/>
      <c r="Q25" s="100"/>
      <c r="R25" s="100"/>
      <c r="S25" s="100"/>
      <c r="T25" s="100"/>
      <c r="U25" s="100"/>
      <c r="V25" s="100"/>
    </row>
    <row r="26" spans="1:22" x14ac:dyDescent="0.3">
      <c r="N26" s="100"/>
      <c r="O26" s="100"/>
      <c r="P26" s="100"/>
      <c r="Q26" s="100"/>
      <c r="R26" s="100"/>
      <c r="S26" s="100"/>
      <c r="T26" s="100"/>
      <c r="U26" s="100"/>
      <c r="V26" s="100"/>
    </row>
    <row r="27" spans="1:22" x14ac:dyDescent="0.3">
      <c r="N27" s="100"/>
      <c r="O27" s="100"/>
      <c r="P27" s="100"/>
      <c r="Q27" s="100"/>
      <c r="R27" s="100"/>
      <c r="S27" s="100"/>
      <c r="T27" s="100"/>
      <c r="U27" s="100"/>
      <c r="V27" s="100"/>
    </row>
    <row r="28" spans="1:22" x14ac:dyDescent="0.3">
      <c r="N28" s="100"/>
      <c r="O28" s="100"/>
      <c r="P28" s="100"/>
      <c r="Q28" s="100"/>
      <c r="R28" s="100"/>
      <c r="S28" s="100"/>
      <c r="T28" s="100"/>
      <c r="U28" s="100"/>
      <c r="V28" s="100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T30"/>
  <sheetViews>
    <sheetView showGridLines="0" zoomScaleSheetLayoutView="100" workbookViewId="0">
      <selection activeCell="M20" sqref="M20"/>
    </sheetView>
  </sheetViews>
  <sheetFormatPr defaultColWidth="8.77734375" defaultRowHeight="13.2" x14ac:dyDescent="0.25"/>
  <cols>
    <col min="1" max="1" width="2.6640625" style="2" customWidth="1"/>
    <col min="2" max="2" width="41.21875" style="2" customWidth="1"/>
    <col min="3" max="4" width="9.5546875" style="6" bestFit="1" customWidth="1"/>
    <col min="5" max="7" width="9.44140625" style="6" bestFit="1" customWidth="1"/>
    <col min="8" max="11" width="9.5546875" style="6" bestFit="1" customWidth="1"/>
    <col min="12" max="12" width="10.77734375" style="6" customWidth="1"/>
    <col min="13" max="16384" width="8.77734375" style="6"/>
  </cols>
  <sheetData>
    <row r="1" spans="1:20" s="2" customFormat="1" x14ac:dyDescent="0.25"/>
    <row r="2" spans="1:20" s="2" customFormat="1" x14ac:dyDescent="0.25">
      <c r="B2" s="82" t="s">
        <v>8</v>
      </c>
    </row>
    <row r="3" spans="1:20" s="2" customFormat="1" x14ac:dyDescent="0.25"/>
    <row r="4" spans="1:20" s="66" customFormat="1" x14ac:dyDescent="0.25">
      <c r="B4" s="81" t="str">
        <f>'Income Statement'!B4</f>
        <v>(YE 31-Dec, USDm)</v>
      </c>
      <c r="C4" s="67" t="str">
        <f>'Income Statement'!C4</f>
        <v>FY 2021</v>
      </c>
      <c r="D4" s="67" t="str">
        <f>'Income Statement'!D4</f>
        <v>FY 2022</v>
      </c>
      <c r="E4" s="67" t="s">
        <v>96</v>
      </c>
      <c r="F4" s="67" t="str">
        <f>'Income Statement'!F4</f>
        <v>FY 2024</v>
      </c>
      <c r="G4" s="76" t="str">
        <f>'Income Statement'!G4</f>
        <v>FY 2025 E</v>
      </c>
      <c r="H4" s="76" t="str">
        <f>'Income Statement'!H4</f>
        <v>FY 2026(E)</v>
      </c>
      <c r="I4" s="76" t="str">
        <f>'Income Statement'!I4</f>
        <v>FY 2027E</v>
      </c>
      <c r="J4" s="76" t="str">
        <f>'Income Statement'!J4</f>
        <v>FY 2028 E</v>
      </c>
      <c r="K4" s="76" t="str">
        <f>'Income Statement'!K4</f>
        <v>FY 2029 E</v>
      </c>
      <c r="L4" s="76" t="str">
        <f>'Income Statement'!L4</f>
        <v>FY 2030 E</v>
      </c>
    </row>
    <row r="5" spans="1:20" s="87" customFormat="1" x14ac:dyDescent="0.25">
      <c r="B5" s="220"/>
      <c r="C5" s="221"/>
      <c r="D5" s="221"/>
      <c r="E5" s="221"/>
      <c r="F5" s="221"/>
      <c r="G5" s="222"/>
      <c r="H5" s="222"/>
      <c r="I5" s="222"/>
      <c r="J5" s="222"/>
      <c r="K5" s="222"/>
      <c r="L5" s="222"/>
    </row>
    <row r="6" spans="1:20" s="218" customFormat="1" x14ac:dyDescent="0.25">
      <c r="B6" s="219" t="s">
        <v>97</v>
      </c>
      <c r="C6" s="219">
        <f>'Income Statement'!C6</f>
        <v>79474</v>
      </c>
      <c r="D6" s="219">
        <f>'Income Statement'!D6</f>
        <v>86392</v>
      </c>
      <c r="E6" s="219">
        <f>'Income Statement'!E6</f>
        <v>91471</v>
      </c>
      <c r="F6" s="219">
        <f>'Income Statement'!F6</f>
        <v>91854</v>
      </c>
      <c r="G6" s="219">
        <f>'Income Statement'!G6</f>
        <v>97365.24</v>
      </c>
      <c r="H6" s="219">
        <f>'Income Statement'!H6</f>
        <v>103207.15440000001</v>
      </c>
      <c r="I6" s="219">
        <f>'Income Statement'!I6</f>
        <v>109399.58366400002</v>
      </c>
      <c r="J6" s="219">
        <f>'Income Statement'!J6</f>
        <v>115963.55868384003</v>
      </c>
      <c r="K6" s="219">
        <f>'Income Statement'!K6</f>
        <v>122921.37220487044</v>
      </c>
      <c r="L6" s="219">
        <f>'Income Statement'!L6</f>
        <v>130296.65453716267</v>
      </c>
    </row>
    <row r="7" spans="1:20" s="2" customFormat="1" x14ac:dyDescent="0.25">
      <c r="A7" s="87"/>
      <c r="B7" s="87" t="s">
        <v>9</v>
      </c>
      <c r="C7" s="87">
        <v>21369</v>
      </c>
      <c r="D7" s="87">
        <f>C13</f>
        <v>22407</v>
      </c>
      <c r="E7" s="87">
        <f t="shared" ref="E7:L7" si="0">D13</f>
        <v>24291</v>
      </c>
      <c r="F7" s="87">
        <f t="shared" si="0"/>
        <v>27039</v>
      </c>
      <c r="G7" s="87">
        <f t="shared" si="0"/>
        <v>28008</v>
      </c>
      <c r="H7" s="87">
        <f t="shared" si="0"/>
        <v>30602.373894</v>
      </c>
      <c r="I7" s="87">
        <f t="shared" si="0"/>
        <v>33256.45136277</v>
      </c>
      <c r="J7" s="87">
        <f t="shared" si="0"/>
        <v>35983.890300977553</v>
      </c>
      <c r="K7" s="87">
        <f t="shared" si="0"/>
        <v>38798.110130551213</v>
      </c>
      <c r="L7" s="87">
        <f t="shared" si="0"/>
        <v>41712.388576690224</v>
      </c>
      <c r="M7" s="87"/>
      <c r="N7" s="87"/>
      <c r="O7" s="87"/>
      <c r="P7" s="87"/>
      <c r="Q7" s="87"/>
      <c r="R7" s="87"/>
      <c r="S7" s="87"/>
      <c r="T7" s="87"/>
    </row>
    <row r="8" spans="1:20" x14ac:dyDescent="0.25">
      <c r="A8" s="87"/>
      <c r="B8" s="156" t="s">
        <v>98</v>
      </c>
      <c r="C8" s="87">
        <f>'Cash Flow Statement'!C19*-1</f>
        <v>4625</v>
      </c>
      <c r="D8" s="87">
        <f>'Cash Flow Statement'!D19*-1</f>
        <v>5207</v>
      </c>
      <c r="E8" s="87">
        <f>'Cash Flow Statement'!E19*-1</f>
        <v>5518</v>
      </c>
      <c r="F8" s="87">
        <f>'Cash Flow Statement'!F19*-1</f>
        <v>5318</v>
      </c>
      <c r="G8" s="87">
        <f>'Income Statement'!G6*'PPE Schedule'!G9</f>
        <v>5841.9143999999997</v>
      </c>
      <c r="H8" s="87">
        <f>'Income Statement'!H6*'PPE Schedule'!H9</f>
        <v>6192.4292640000003</v>
      </c>
      <c r="I8" s="87">
        <f>'Income Statement'!I6*'PPE Schedule'!I9</f>
        <v>6563.9750198400006</v>
      </c>
      <c r="J8" s="87">
        <f>'Income Statement'!J6*'PPE Schedule'!J9</f>
        <v>6957.8135210304017</v>
      </c>
      <c r="K8" s="87">
        <f>'Income Statement'!K6*'PPE Schedule'!K9</f>
        <v>7375.2823322922259</v>
      </c>
      <c r="L8" s="87">
        <f>'Income Statement'!L6*'PPE Schedule'!L9</f>
        <v>7817.7992722297604</v>
      </c>
      <c r="M8" s="91"/>
      <c r="N8" s="91"/>
      <c r="O8" s="91"/>
      <c r="P8" s="91"/>
      <c r="Q8" s="91"/>
      <c r="R8" s="91"/>
      <c r="S8" s="91"/>
      <c r="T8" s="91"/>
    </row>
    <row r="9" spans="1:20" x14ac:dyDescent="0.25">
      <c r="A9" s="87"/>
      <c r="B9" s="156" t="s">
        <v>99</v>
      </c>
      <c r="C9" s="148">
        <f>C8/'Income Statement'!C6</f>
        <v>5.8195132999471523E-2</v>
      </c>
      <c r="D9" s="148">
        <f>D8/'Income Statement'!D6</f>
        <v>6.0271784424483749E-2</v>
      </c>
      <c r="E9" s="148">
        <f>E8/'Income Statement'!E6</f>
        <v>6.0325130369188046E-2</v>
      </c>
      <c r="F9" s="148">
        <f>F8/'Income Statement'!F6</f>
        <v>5.7896226620506454E-2</v>
      </c>
      <c r="G9" s="157">
        <v>0.06</v>
      </c>
      <c r="H9" s="157">
        <v>0.06</v>
      </c>
      <c r="I9" s="157">
        <v>0.06</v>
      </c>
      <c r="J9" s="157">
        <v>0.06</v>
      </c>
      <c r="K9" s="157">
        <v>0.06</v>
      </c>
      <c r="L9" s="157">
        <v>0.06</v>
      </c>
      <c r="M9" s="91"/>
      <c r="N9" s="91"/>
      <c r="O9" s="91"/>
      <c r="P9" s="91"/>
      <c r="Q9" s="91"/>
      <c r="R9" s="91"/>
      <c r="S9" s="91"/>
      <c r="T9" s="91"/>
    </row>
    <row r="10" spans="1:20" s="7" customFormat="1" x14ac:dyDescent="0.25">
      <c r="A10" s="121"/>
      <c r="B10" s="156" t="s">
        <v>102</v>
      </c>
      <c r="C10" s="123">
        <v>877</v>
      </c>
      <c r="D10" s="123">
        <v>560</v>
      </c>
      <c r="E10" s="123">
        <v>-178</v>
      </c>
      <c r="F10" s="123">
        <v>1189</v>
      </c>
      <c r="G10" s="123">
        <v>0</v>
      </c>
      <c r="H10" s="123">
        <v>0</v>
      </c>
      <c r="I10" s="123">
        <v>0</v>
      </c>
      <c r="J10" s="123">
        <v>0</v>
      </c>
      <c r="K10" s="123">
        <v>0</v>
      </c>
      <c r="L10" s="123">
        <v>0</v>
      </c>
      <c r="M10" s="123"/>
      <c r="N10" s="123"/>
      <c r="O10" s="123"/>
      <c r="P10" s="123"/>
      <c r="Q10" s="123"/>
      <c r="R10" s="123"/>
      <c r="S10" s="123"/>
      <c r="T10" s="123"/>
    </row>
    <row r="11" spans="1:20" s="2" customFormat="1" x14ac:dyDescent="0.25">
      <c r="A11" s="87"/>
      <c r="B11" s="156" t="s">
        <v>10</v>
      </c>
      <c r="C11" s="87">
        <f>'Cash Flow Statement'!C8</f>
        <v>2710</v>
      </c>
      <c r="D11" s="87">
        <f>'Cash Flow Statement'!D8</f>
        <v>2763</v>
      </c>
      <c r="E11" s="87">
        <f>'Cash Flow Statement'!E8</f>
        <v>2948</v>
      </c>
      <c r="F11" s="87">
        <f>'Cash Flow Statement'!F8</f>
        <v>3160</v>
      </c>
      <c r="G11" s="87">
        <f>(G7+G8/2)*G12</f>
        <v>3247.5405059999998</v>
      </c>
      <c r="H11" s="87">
        <f t="shared" ref="H11:L11" si="1">(H7+H8/2)*H12</f>
        <v>3538.3517952299999</v>
      </c>
      <c r="I11" s="87">
        <f t="shared" si="1"/>
        <v>3836.5360816324496</v>
      </c>
      <c r="J11" s="87">
        <f t="shared" si="1"/>
        <v>4143.5936914567392</v>
      </c>
      <c r="K11" s="87">
        <f t="shared" si="1"/>
        <v>4461.0038861532184</v>
      </c>
      <c r="L11" s="87">
        <f t="shared" si="1"/>
        <v>4790.2352623445358</v>
      </c>
      <c r="M11" s="87"/>
      <c r="N11" s="87"/>
      <c r="O11" s="87"/>
      <c r="P11" s="87"/>
      <c r="Q11" s="87"/>
      <c r="R11" s="87"/>
      <c r="S11" s="87"/>
      <c r="T11" s="87"/>
    </row>
    <row r="12" spans="1:20" x14ac:dyDescent="0.25">
      <c r="A12" s="87"/>
      <c r="B12" s="156" t="s">
        <v>100</v>
      </c>
      <c r="C12" s="148">
        <f>C11/(C7+C8/2)</f>
        <v>0.11443531870869667</v>
      </c>
      <c r="D12" s="148">
        <f t="shared" ref="D12:F12" si="2">D11/(D7+D8/2)</f>
        <v>0.11047360108754323</v>
      </c>
      <c r="E12" s="148">
        <f t="shared" si="2"/>
        <v>0.10898336414048058</v>
      </c>
      <c r="F12" s="148">
        <f t="shared" si="2"/>
        <v>0.10640447168159473</v>
      </c>
      <c r="G12" s="157">
        <v>0.105</v>
      </c>
      <c r="H12" s="157">
        <v>0.105</v>
      </c>
      <c r="I12" s="157">
        <v>0.105</v>
      </c>
      <c r="J12" s="157">
        <v>0.105</v>
      </c>
      <c r="K12" s="157">
        <v>0.105</v>
      </c>
      <c r="L12" s="157">
        <v>0.105</v>
      </c>
      <c r="M12" s="91"/>
      <c r="N12" s="91"/>
      <c r="O12" s="91"/>
      <c r="P12" s="91"/>
      <c r="Q12" s="91"/>
      <c r="R12" s="91"/>
      <c r="S12" s="91"/>
      <c r="T12" s="91"/>
    </row>
    <row r="13" spans="1:20" ht="13.8" thickBot="1" x14ac:dyDescent="0.3">
      <c r="A13" s="87"/>
      <c r="B13" s="141" t="s">
        <v>11</v>
      </c>
      <c r="C13" s="142">
        <f>C7+C8-C10-C11</f>
        <v>22407</v>
      </c>
      <c r="D13" s="142">
        <f t="shared" ref="D13:F13" si="3">D7+D8-D10-D11</f>
        <v>24291</v>
      </c>
      <c r="E13" s="142">
        <f t="shared" si="3"/>
        <v>27039</v>
      </c>
      <c r="F13" s="142">
        <f t="shared" si="3"/>
        <v>28008</v>
      </c>
      <c r="G13" s="142">
        <f t="shared" ref="G13" si="4">G7+G8-G10-G11</f>
        <v>30602.373894</v>
      </c>
      <c r="H13" s="142">
        <f t="shared" ref="H13" si="5">H7+H8-H10-H11</f>
        <v>33256.45136277</v>
      </c>
      <c r="I13" s="142">
        <f t="shared" ref="I13" si="6">I7+I8-I10-I11</f>
        <v>35983.890300977553</v>
      </c>
      <c r="J13" s="142">
        <f t="shared" ref="J13" si="7">J7+J8-J10-J11</f>
        <v>38798.110130551213</v>
      </c>
      <c r="K13" s="142">
        <f t="shared" ref="K13" si="8">K7+K8-K10-K11</f>
        <v>41712.388576690224</v>
      </c>
      <c r="L13" s="142">
        <f t="shared" ref="L13" si="9">L7+L8-L10-L11</f>
        <v>44739.952586575455</v>
      </c>
      <c r="M13" s="91"/>
      <c r="N13" s="91"/>
      <c r="O13" s="91"/>
      <c r="P13" s="91"/>
      <c r="Q13" s="91"/>
      <c r="R13" s="91"/>
      <c r="S13" s="91"/>
      <c r="T13" s="91"/>
    </row>
    <row r="14" spans="1:20" s="7" customFormat="1" ht="13.8" thickTop="1" x14ac:dyDescent="0.25">
      <c r="A14" s="121"/>
      <c r="B14" s="158"/>
      <c r="C14" s="9"/>
      <c r="D14" s="9"/>
      <c r="E14" s="9"/>
      <c r="F14" s="9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</row>
    <row r="15" spans="1:20" s="7" customFormat="1" x14ac:dyDescent="0.25">
      <c r="A15" s="121"/>
      <c r="B15" s="158"/>
      <c r="C15" s="9"/>
      <c r="D15" s="9"/>
      <c r="E15" s="9"/>
      <c r="F15" s="9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</row>
    <row r="16" spans="1:20" x14ac:dyDescent="0.25">
      <c r="A16" s="87"/>
      <c r="B16" s="87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</row>
    <row r="17" spans="1:5" s="84" customFormat="1" ht="15.6" x14ac:dyDescent="0.3">
      <c r="A17" s="83"/>
      <c r="B17" s="86" t="s">
        <v>101</v>
      </c>
    </row>
    <row r="30" spans="1:5" x14ac:dyDescent="0.25">
      <c r="E30" s="91"/>
    </row>
  </sheetData>
  <phoneticPr fontId="6" type="noConversion"/>
  <pageMargins left="0.75" right="0.75" top="1" bottom="1" header="0.3" footer="0.3"/>
  <pageSetup paperSize="9" scale="45" orientation="portrait"/>
  <headerFooter alignWithMargin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Y32"/>
  <sheetViews>
    <sheetView showGridLines="0" topLeftCell="A4" zoomScaleSheetLayoutView="100" workbookViewId="0">
      <selection activeCell="G23" sqref="G23"/>
    </sheetView>
  </sheetViews>
  <sheetFormatPr defaultColWidth="8.77734375" defaultRowHeight="13.2" x14ac:dyDescent="0.25"/>
  <cols>
    <col min="1" max="1" width="2.6640625" style="2" customWidth="1"/>
    <col min="2" max="2" width="41.21875" style="2" customWidth="1"/>
    <col min="3" max="3" width="9.33203125" style="6" bestFit="1" customWidth="1"/>
    <col min="4" max="6" width="8.77734375" style="6"/>
    <col min="7" max="7" width="9.21875" style="6" bestFit="1" customWidth="1"/>
    <col min="8" max="9" width="9.109375" style="6" bestFit="1" customWidth="1"/>
    <col min="10" max="11" width="11.5546875" style="6" customWidth="1"/>
    <col min="12" max="12" width="12.21875" style="6" customWidth="1"/>
    <col min="13" max="16384" width="8.77734375" style="6"/>
  </cols>
  <sheetData>
    <row r="1" spans="1:25" s="2" customFormat="1" x14ac:dyDescent="0.25"/>
    <row r="2" spans="1:25" s="146" customFormat="1" x14ac:dyDescent="0.25">
      <c r="B2" s="174" t="s">
        <v>13</v>
      </c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 spans="1:25" s="2" customFormat="1" x14ac:dyDescent="0.25"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 spans="1:25" s="85" customFormat="1" x14ac:dyDescent="0.25">
      <c r="B4" s="120" t="str">
        <f>'Income Statement'!B4</f>
        <v>(YE 31-Dec, USDm)</v>
      </c>
      <c r="C4" s="210" t="str">
        <f>'Income Statement'!C4</f>
        <v>FY 2021</v>
      </c>
      <c r="D4" s="210" t="str">
        <f>'Income Statement'!D4</f>
        <v>FY 2022</v>
      </c>
      <c r="E4" s="210" t="str">
        <f>'Income Statement'!E4</f>
        <v>FY 2023</v>
      </c>
      <c r="F4" s="210" t="str">
        <f>'Income Statement'!F4</f>
        <v>FY 2024</v>
      </c>
      <c r="G4" s="209" t="str">
        <f>'Income Statement'!G4</f>
        <v>FY 2025 E</v>
      </c>
      <c r="H4" s="209" t="str">
        <f>'Income Statement'!H4</f>
        <v>FY 2026(E)</v>
      </c>
      <c r="I4" s="209" t="str">
        <f>'Income Statement'!I4</f>
        <v>FY 2027E</v>
      </c>
      <c r="J4" s="209" t="str">
        <f>'Income Statement'!J4</f>
        <v>FY 2028 E</v>
      </c>
      <c r="K4" s="209" t="str">
        <f>'Income Statement'!K4</f>
        <v>FY 2029 E</v>
      </c>
      <c r="L4" s="209" t="str">
        <f>'Income Statement'!L4</f>
        <v>FY 2030 E</v>
      </c>
      <c r="M4" s="211"/>
      <c r="N4" s="211"/>
      <c r="O4" s="211"/>
      <c r="P4" s="211"/>
      <c r="Q4" s="168"/>
      <c r="R4" s="168"/>
      <c r="S4" s="168"/>
      <c r="T4" s="168"/>
      <c r="U4" s="168"/>
      <c r="V4" s="168"/>
      <c r="W4" s="168"/>
      <c r="X4" s="168"/>
      <c r="Y4" s="168"/>
    </row>
    <row r="5" spans="1:25" s="2" customFormat="1" x14ac:dyDescent="0.25">
      <c r="B5" s="2" t="s">
        <v>121</v>
      </c>
      <c r="C5" s="6"/>
      <c r="D5" s="6"/>
      <c r="E5" s="6"/>
      <c r="F5" s="6"/>
      <c r="G5" s="6"/>
      <c r="H5" s="6"/>
      <c r="I5" s="6"/>
      <c r="J5" s="6"/>
      <c r="K5" s="6"/>
      <c r="L5" s="6"/>
      <c r="M5" s="91"/>
      <c r="N5" s="91"/>
      <c r="O5" s="91"/>
      <c r="P5" s="91"/>
      <c r="Q5" s="87"/>
      <c r="R5" s="87"/>
      <c r="S5" s="87"/>
      <c r="T5" s="87"/>
      <c r="U5" s="87"/>
      <c r="V5" s="87"/>
      <c r="W5" s="87"/>
      <c r="X5" s="87"/>
      <c r="Y5" s="87"/>
    </row>
    <row r="6" spans="1:25" s="2" customFormat="1" x14ac:dyDescent="0.25">
      <c r="B6" s="2" t="s">
        <v>122</v>
      </c>
      <c r="C6" s="2">
        <f>'Cash Flow Statement'!C17</f>
        <v>11616</v>
      </c>
      <c r="D6" s="2">
        <f>'Cash Flow Statement'!D17</f>
        <v>10811</v>
      </c>
      <c r="E6" s="2">
        <f>'Cash Flow Statement'!E17</f>
        <v>13442</v>
      </c>
      <c r="F6" s="2">
        <f>'Cash Flow Statement'!F17</f>
        <v>12507</v>
      </c>
      <c r="G6" s="2">
        <f ca="1">'Cash Flow Statement'!G17</f>
        <v>15083.921515315065</v>
      </c>
      <c r="H6" s="2">
        <f ca="1">'Cash Flow Statement'!H17</f>
        <v>15427.947919788901</v>
      </c>
      <c r="I6" s="2">
        <f ca="1">'Cash Flow Statement'!I17</f>
        <v>16502.825997664895</v>
      </c>
      <c r="J6" s="2">
        <f ca="1">'Cash Flow Statement'!J17</f>
        <v>17633.179026451133</v>
      </c>
      <c r="K6" s="2">
        <f ca="1">'Cash Flow Statement'!K17</f>
        <v>18823.28236524728</v>
      </c>
      <c r="L6" s="2">
        <f ca="1">'Cash Flow Statement'!L17</f>
        <v>20077.568474184234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spans="1:25" s="5" customFormat="1" x14ac:dyDescent="0.25">
      <c r="B7" s="2" t="s">
        <v>123</v>
      </c>
      <c r="C7" s="2">
        <f>'Cash Flow Statement'!C22</f>
        <v>-3269</v>
      </c>
      <c r="D7" s="2">
        <f>'Cash Flow Statement'!D22</f>
        <v>-2430</v>
      </c>
      <c r="E7" s="2">
        <f>'Cash Flow Statement'!E22</f>
        <v>-5495</v>
      </c>
      <c r="F7" s="2">
        <f>'Cash Flow Statement'!F22</f>
        <v>-5472</v>
      </c>
      <c r="G7" s="2">
        <f>'Cash Flow Statement'!G22</f>
        <v>-5841.9143999999997</v>
      </c>
      <c r="H7" s="2">
        <f>'Cash Flow Statement'!H22</f>
        <v>-6192.4292640000003</v>
      </c>
      <c r="I7" s="2">
        <f>'Cash Flow Statement'!I22</f>
        <v>-6563.9750198400006</v>
      </c>
      <c r="J7" s="2">
        <f>'Cash Flow Statement'!J22</f>
        <v>-6957.8135210304017</v>
      </c>
      <c r="K7" s="2">
        <f>'Cash Flow Statement'!K22</f>
        <v>-7375.2823322922259</v>
      </c>
      <c r="L7" s="2">
        <f>'Cash Flow Statement'!L22</f>
        <v>-7817.7992722297604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</row>
    <row r="8" spans="1:25" s="91" customFormat="1" ht="13.8" thickBot="1" x14ac:dyDescent="0.3">
      <c r="A8" s="87"/>
      <c r="B8" s="170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42"/>
      <c r="N8" s="142"/>
      <c r="O8" s="142"/>
      <c r="P8" s="142"/>
    </row>
    <row r="9" spans="1:25" s="5" customFormat="1" ht="13.8" thickTop="1" x14ac:dyDescent="0.25">
      <c r="B9" s="2" t="s">
        <v>124</v>
      </c>
      <c r="C9" s="2">
        <f>'Cash Flow Statement'!C34</f>
        <v>8254</v>
      </c>
      <c r="D9" s="2">
        <f>'Cash Flow Statement'!D34</f>
        <v>5596</v>
      </c>
      <c r="E9" s="2">
        <f>'Cash Flow Statement'!E34</f>
        <v>4954</v>
      </c>
      <c r="F9" s="2">
        <f>'Cash Flow Statement'!F34</f>
        <v>9711</v>
      </c>
      <c r="G9" s="2">
        <f>'Cash Flow Statement'!G34</f>
        <v>8505</v>
      </c>
      <c r="H9" s="2">
        <f ca="1">'Cash Flow Statement'!H34</f>
        <v>2638.3724726846922</v>
      </c>
      <c r="I9" s="2">
        <f ca="1">'Cash Flow Statement'!I34</f>
        <v>3318.1074000657827</v>
      </c>
      <c r="J9" s="2">
        <f ca="1">'Cash Flow Statement'!J34</f>
        <v>4140.2766185587734</v>
      </c>
      <c r="K9" s="2">
        <f ca="1">'Cash Flow Statement'!K34</f>
        <v>5104.4084518680593</v>
      </c>
      <c r="L9" s="2">
        <f ca="1">'Cash Flow Statement'!L34</f>
        <v>6210.9497851653869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</row>
    <row r="10" spans="1:25" s="5" customFormat="1" x14ac:dyDescent="0.25">
      <c r="B10" s="172" t="s">
        <v>125</v>
      </c>
      <c r="C10" s="2"/>
      <c r="D10" s="2"/>
      <c r="E10" s="2"/>
      <c r="F10" s="2"/>
      <c r="G10" s="223">
        <v>-1000</v>
      </c>
      <c r="H10" s="223">
        <v>-1000</v>
      </c>
      <c r="I10" s="223">
        <v>-1000</v>
      </c>
      <c r="J10" s="223">
        <v>-1000</v>
      </c>
      <c r="K10" s="223">
        <v>-1000</v>
      </c>
      <c r="L10" s="223">
        <v>-1000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</row>
    <row r="11" spans="1:25" s="2" customFormat="1" x14ac:dyDescent="0.25">
      <c r="B11" s="2" t="s">
        <v>140</v>
      </c>
      <c r="C11" s="2">
        <f>'Cash Flow Statement'!C28</f>
        <v>-5815</v>
      </c>
      <c r="D11" s="2">
        <f>'Cash Flow Statement'!D28</f>
        <v>-6172</v>
      </c>
      <c r="E11" s="2">
        <f>'Cash Flow Statement'!E28</f>
        <v>-6682</v>
      </c>
      <c r="F11" s="2">
        <f>'Cash Flow Statement'!F28</f>
        <v>-7229</v>
      </c>
      <c r="G11" s="2">
        <f ca="1">'Cash Flow Statement'!G28</f>
        <v>-8026.6346426303735</v>
      </c>
      <c r="H11" s="2">
        <f ca="1">'Cash Flow Statement'!H28</f>
        <v>-8555.7837284078105</v>
      </c>
      <c r="I11" s="2">
        <f ca="1">'Cash Flow Statement'!I28</f>
        <v>-9116.6817593319047</v>
      </c>
      <c r="J11" s="2">
        <f ca="1">'Cash Flow Statement'!J28</f>
        <v>-9711.2336721114443</v>
      </c>
      <c r="K11" s="2">
        <f ca="1">'Cash Flow Statement'!K28</f>
        <v>-10341.458699657725</v>
      </c>
      <c r="L11" s="2">
        <f ca="1">'Cash Flow Statement'!L28</f>
        <v>-11009.497228856801</v>
      </c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spans="1:25" s="87" customFormat="1" x14ac:dyDescent="0.25">
      <c r="B12" s="87" t="s">
        <v>141</v>
      </c>
      <c r="C12" s="87">
        <f>'Cash Flow Statement'!C27</f>
        <v>-3455</v>
      </c>
      <c r="D12" s="87">
        <f>'Cash Flow Statement'!D27</f>
        <v>-2458</v>
      </c>
      <c r="E12" s="87">
        <f>'Cash Flow Statement'!E27</f>
        <v>-3005</v>
      </c>
      <c r="F12" s="87">
        <f>'Cash Flow Statement'!F27</f>
        <v>-3886</v>
      </c>
      <c r="G12" s="224">
        <f>(G17*G13)*-1</f>
        <v>0</v>
      </c>
      <c r="H12" s="224">
        <f t="shared" ref="H12:L12" si="0">(H17*H13)*-1</f>
        <v>0</v>
      </c>
      <c r="I12" s="224">
        <f t="shared" si="0"/>
        <v>0</v>
      </c>
      <c r="J12" s="224">
        <f t="shared" si="0"/>
        <v>0</v>
      </c>
      <c r="K12" s="224">
        <f t="shared" si="0"/>
        <v>0</v>
      </c>
      <c r="L12" s="224">
        <f t="shared" si="0"/>
        <v>0</v>
      </c>
    </row>
    <row r="13" spans="1:25" s="91" customFormat="1" x14ac:dyDescent="0.25">
      <c r="A13" s="87"/>
      <c r="B13" s="87"/>
      <c r="C13" s="148"/>
      <c r="D13" s="148"/>
      <c r="E13" s="148"/>
      <c r="F13" s="148"/>
      <c r="G13" s="173"/>
      <c r="H13" s="173"/>
      <c r="I13" s="173"/>
      <c r="J13" s="173"/>
      <c r="K13" s="173"/>
      <c r="L13" s="173"/>
    </row>
    <row r="14" spans="1:25" s="225" customFormat="1" x14ac:dyDescent="0.25">
      <c r="B14" s="226" t="s">
        <v>144</v>
      </c>
      <c r="C14" s="226"/>
      <c r="D14" s="226"/>
      <c r="E14" s="226"/>
      <c r="F14" s="226"/>
      <c r="G14" s="226">
        <f ca="1">SUM(G6:G12)</f>
        <v>8720.3724726846904</v>
      </c>
      <c r="H14" s="226">
        <f t="shared" ref="H14:L14" ca="1" si="1">SUM(H6:H12)</f>
        <v>2318.1074000657827</v>
      </c>
      <c r="I14" s="226">
        <f t="shared" ca="1" si="1"/>
        <v>3140.2766185587734</v>
      </c>
      <c r="J14" s="226">
        <f t="shared" ca="1" si="1"/>
        <v>4104.4084518680593</v>
      </c>
      <c r="K14" s="226">
        <f t="shared" ca="1" si="1"/>
        <v>5210.9497851653887</v>
      </c>
      <c r="L14" s="226">
        <f t="shared" ca="1" si="1"/>
        <v>6461.2217582630601</v>
      </c>
      <c r="M14" s="168"/>
      <c r="N14" s="168"/>
      <c r="O14" s="168"/>
      <c r="P14" s="168"/>
      <c r="Q14" s="168"/>
      <c r="R14" s="168"/>
      <c r="S14" s="168"/>
      <c r="T14" s="168"/>
    </row>
    <row r="15" spans="1:25" x14ac:dyDescent="0.25"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spans="1:25" s="147" customFormat="1" x14ac:dyDescent="0.25">
      <c r="A16" s="146" t="s">
        <v>94</v>
      </c>
      <c r="B16" s="146" t="s">
        <v>143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 spans="1:25" x14ac:dyDescent="0.25">
      <c r="B17" s="2" t="s">
        <v>139</v>
      </c>
      <c r="C17" s="6">
        <v>40370</v>
      </c>
      <c r="D17" s="6">
        <f>C19</f>
        <v>36026</v>
      </c>
      <c r="E17" s="6">
        <f t="shared" ref="E17:L17" si="2">D19</f>
        <v>35657</v>
      </c>
      <c r="F17" s="6">
        <f t="shared" si="2"/>
        <v>37595</v>
      </c>
      <c r="G17" s="6">
        <f t="shared" si="2"/>
        <v>37224</v>
      </c>
      <c r="H17" s="6">
        <f t="shared" si="2"/>
        <v>37224</v>
      </c>
      <c r="I17" s="6">
        <f t="shared" si="2"/>
        <v>37224</v>
      </c>
      <c r="J17" s="6">
        <f t="shared" si="2"/>
        <v>37224</v>
      </c>
      <c r="K17" s="6">
        <f t="shared" si="2"/>
        <v>37224</v>
      </c>
      <c r="L17" s="6">
        <f t="shared" si="2"/>
        <v>37224</v>
      </c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 spans="1:25" x14ac:dyDescent="0.25">
      <c r="B18" s="2" t="s">
        <v>52</v>
      </c>
      <c r="G18" s="6">
        <f>G12</f>
        <v>0</v>
      </c>
      <c r="H18" s="6">
        <f t="shared" ref="H18:L18" si="3">H12</f>
        <v>0</v>
      </c>
      <c r="I18" s="6">
        <f t="shared" si="3"/>
        <v>0</v>
      </c>
      <c r="J18" s="6">
        <f t="shared" si="3"/>
        <v>0</v>
      </c>
      <c r="K18" s="6">
        <f t="shared" si="3"/>
        <v>0</v>
      </c>
      <c r="L18" s="6">
        <f t="shared" si="3"/>
        <v>0</v>
      </c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 spans="1:25" x14ac:dyDescent="0.25">
      <c r="B19" s="2" t="s">
        <v>142</v>
      </c>
      <c r="C19" s="6">
        <f>'Balance Sheet'!C32</f>
        <v>36026</v>
      </c>
      <c r="D19" s="6">
        <f>'Balance Sheet'!D32</f>
        <v>35657</v>
      </c>
      <c r="E19" s="6">
        <f>'Balance Sheet'!E32</f>
        <v>37595</v>
      </c>
      <c r="F19" s="6">
        <f>'Balance Sheet'!F32</f>
        <v>37224</v>
      </c>
      <c r="G19" s="6">
        <f>G17+G18</f>
        <v>37224</v>
      </c>
      <c r="H19" s="6">
        <f t="shared" ref="H19:L19" si="4">H17+H18</f>
        <v>37224</v>
      </c>
      <c r="I19" s="6">
        <f t="shared" si="4"/>
        <v>37224</v>
      </c>
      <c r="J19" s="6">
        <f t="shared" si="4"/>
        <v>37224</v>
      </c>
      <c r="K19" s="6">
        <f t="shared" si="4"/>
        <v>37224</v>
      </c>
      <c r="L19" s="6">
        <f t="shared" si="4"/>
        <v>37224</v>
      </c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 spans="1:25" x14ac:dyDescent="0.25"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 spans="1:25" x14ac:dyDescent="0.25"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 spans="1:25" s="147" customFormat="1" x14ac:dyDescent="0.25">
      <c r="A22" s="146"/>
      <c r="B22" s="146" t="s">
        <v>145</v>
      </c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 spans="1:25" x14ac:dyDescent="0.25">
      <c r="B23" s="2" t="s">
        <v>146</v>
      </c>
      <c r="G23" s="6">
        <f>'Balance Sheet'!F37</f>
        <v>7082</v>
      </c>
      <c r="H23" s="6">
        <f ca="1">G26</f>
        <v>0</v>
      </c>
      <c r="I23" s="6">
        <f t="shared" ref="I23:L23" ca="1" si="5">H26</f>
        <v>0</v>
      </c>
      <c r="J23" s="6">
        <f t="shared" ca="1" si="5"/>
        <v>0</v>
      </c>
      <c r="K23" s="6">
        <f t="shared" ca="1" si="5"/>
        <v>0</v>
      </c>
      <c r="L23" s="6">
        <f t="shared" ca="1" si="5"/>
        <v>0</v>
      </c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  <row r="24" spans="1:25" x14ac:dyDescent="0.25">
      <c r="B24" s="2" t="s">
        <v>52</v>
      </c>
      <c r="G24" s="6">
        <f ca="1">IF(G14&gt;0,MIN(G14,G23),0)</f>
        <v>7082</v>
      </c>
      <c r="H24" s="6">
        <f t="shared" ref="H24:L24" ca="1" si="6">IF(H14&gt;0,MIN(H14,H23),0)</f>
        <v>0</v>
      </c>
      <c r="I24" s="6">
        <f t="shared" ca="1" si="6"/>
        <v>0</v>
      </c>
      <c r="J24" s="6">
        <f t="shared" ca="1" si="6"/>
        <v>0</v>
      </c>
      <c r="K24" s="6">
        <f t="shared" ca="1" si="6"/>
        <v>0</v>
      </c>
      <c r="L24" s="6">
        <f t="shared" ca="1" si="6"/>
        <v>0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</row>
    <row r="25" spans="1:25" x14ac:dyDescent="0.25">
      <c r="B25" s="2" t="s">
        <v>147</v>
      </c>
      <c r="G25" s="6">
        <f ca="1">IF(G14&lt;0, ABS(G14),0)</f>
        <v>0</v>
      </c>
      <c r="H25" s="6">
        <f t="shared" ref="H25:L25" ca="1" si="7">IF(H14&lt;0, ABS(H14),0)</f>
        <v>0</v>
      </c>
      <c r="I25" s="6">
        <f t="shared" ca="1" si="7"/>
        <v>0</v>
      </c>
      <c r="J25" s="6">
        <f t="shared" ca="1" si="7"/>
        <v>0</v>
      </c>
      <c r="K25" s="6">
        <f t="shared" ca="1" si="7"/>
        <v>0</v>
      </c>
      <c r="L25" s="6">
        <f t="shared" ca="1" si="7"/>
        <v>0</v>
      </c>
    </row>
    <row r="26" spans="1:25" x14ac:dyDescent="0.25">
      <c r="B26" s="2" t="s">
        <v>174</v>
      </c>
      <c r="G26" s="6">
        <f ca="1">G23-G24+G25</f>
        <v>0</v>
      </c>
      <c r="H26" s="6">
        <f t="shared" ref="H26:L26" ca="1" si="8">H23-H24+H25</f>
        <v>0</v>
      </c>
      <c r="I26" s="6">
        <f t="shared" ca="1" si="8"/>
        <v>0</v>
      </c>
      <c r="J26" s="6">
        <f t="shared" ca="1" si="8"/>
        <v>0</v>
      </c>
      <c r="K26" s="6">
        <f t="shared" ca="1" si="8"/>
        <v>0</v>
      </c>
      <c r="L26" s="6">
        <f t="shared" ca="1" si="8"/>
        <v>0</v>
      </c>
    </row>
    <row r="28" spans="1:25" s="147" customFormat="1" x14ac:dyDescent="0.25">
      <c r="A28" s="146"/>
      <c r="B28" s="146" t="s">
        <v>191</v>
      </c>
    </row>
    <row r="29" spans="1:25" x14ac:dyDescent="0.25">
      <c r="B29" s="2" t="s">
        <v>193</v>
      </c>
      <c r="C29" s="6">
        <f>-'Income Statement'!C23</f>
        <v>1863</v>
      </c>
      <c r="D29" s="6">
        <f>-'Income Statement'!D23</f>
        <v>939</v>
      </c>
      <c r="E29" s="6">
        <f>-'Income Statement'!E23</f>
        <v>819</v>
      </c>
      <c r="F29" s="6">
        <f>-'Income Statement'!F23</f>
        <v>919</v>
      </c>
      <c r="G29" s="6">
        <f>G19*G30</f>
        <v>1302.8400000000001</v>
      </c>
      <c r="H29" s="6">
        <f t="shared" ref="H29:L29" si="9">H19*H30</f>
        <v>1302.8400000000001</v>
      </c>
      <c r="I29" s="6">
        <f t="shared" si="9"/>
        <v>1302.8400000000001</v>
      </c>
      <c r="J29" s="6">
        <f t="shared" si="9"/>
        <v>1302.8400000000001</v>
      </c>
      <c r="K29" s="6">
        <f t="shared" si="9"/>
        <v>1302.8400000000001</v>
      </c>
      <c r="L29" s="6">
        <f t="shared" si="9"/>
        <v>1302.8400000000001</v>
      </c>
    </row>
    <row r="30" spans="1:25" x14ac:dyDescent="0.25">
      <c r="B30" s="2" t="s">
        <v>192</v>
      </c>
      <c r="C30" s="80">
        <f>C29/((C17+C19)*0.5)</f>
        <v>4.8772187025498716E-2</v>
      </c>
      <c r="D30" s="80">
        <f t="shared" ref="D30:F30" si="10">D29/((D17+D19)*0.5)</f>
        <v>2.6198680300768662E-2</v>
      </c>
      <c r="E30" s="80">
        <f t="shared" si="10"/>
        <v>2.2361164200294874E-2</v>
      </c>
      <c r="F30" s="80">
        <f t="shared" si="10"/>
        <v>2.4565952498696857E-2</v>
      </c>
      <c r="G30" s="249">
        <v>3.5000000000000003E-2</v>
      </c>
      <c r="H30" s="249">
        <v>3.5000000000000003E-2</v>
      </c>
      <c r="I30" s="249">
        <v>3.5000000000000003E-2</v>
      </c>
      <c r="J30" s="249">
        <v>3.5000000000000003E-2</v>
      </c>
      <c r="K30" s="249">
        <v>3.5000000000000003E-2</v>
      </c>
      <c r="L30" s="249">
        <v>3.5000000000000003E-2</v>
      </c>
    </row>
    <row r="32" spans="1:25" x14ac:dyDescent="0.25">
      <c r="G32" s="80"/>
      <c r="H32" s="80"/>
      <c r="I32" s="80"/>
      <c r="J32" s="80"/>
      <c r="K32" s="80"/>
      <c r="L32" s="80"/>
    </row>
  </sheetData>
  <phoneticPr fontId="6" type="noConversion"/>
  <pageMargins left="0.75" right="0.75" top="1" bottom="1" header="0.3" footer="0.3"/>
  <pageSetup paperSize="9" scale="46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T147"/>
  <sheetViews>
    <sheetView showGridLines="0" zoomScale="104" zoomScaleSheetLayoutView="100" workbookViewId="0">
      <selection activeCell="G54" sqref="G54"/>
    </sheetView>
  </sheetViews>
  <sheetFormatPr defaultColWidth="8.77734375" defaultRowHeight="13.2" x14ac:dyDescent="0.25"/>
  <cols>
    <col min="1" max="1" width="21.21875" style="36" customWidth="1"/>
    <col min="2" max="2" width="17.6640625" style="36" customWidth="1"/>
    <col min="3" max="3" width="17.44140625" style="36" customWidth="1"/>
    <col min="4" max="4" width="12.88671875" style="36" customWidth="1"/>
    <col min="5" max="5" width="13.88671875" style="36" customWidth="1"/>
    <col min="6" max="6" width="13.6640625" style="36" customWidth="1"/>
    <col min="7" max="7" width="15.109375" style="36" customWidth="1"/>
    <col min="8" max="8" width="12.44140625" style="36" customWidth="1"/>
    <col min="9" max="13" width="8.77734375" style="36"/>
    <col min="14" max="14" width="6.44140625" style="36" customWidth="1"/>
    <col min="15" max="15" width="9.21875" style="36" customWidth="1"/>
    <col min="16" max="16384" width="8.77734375" style="36"/>
  </cols>
  <sheetData>
    <row r="1" spans="1:12" s="100" customFormat="1" ht="14.4" x14ac:dyDescent="0.3">
      <c r="A1" s="227" t="s">
        <v>50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s="230" customFormat="1" ht="14.4" x14ac:dyDescent="0.3">
      <c r="A2" s="228" t="s">
        <v>45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</row>
    <row r="4" spans="1:12" customFormat="1" ht="14.4" x14ac:dyDescent="0.3">
      <c r="A4" s="56" t="str">
        <f>'Balance Sheet'!B4</f>
        <v>(YE 31-Dec, USDm)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customFormat="1" ht="14.4" x14ac:dyDescent="0.3">
      <c r="A5" s="36"/>
      <c r="B5" s="36"/>
      <c r="C5" s="55">
        <v>1</v>
      </c>
      <c r="D5" s="55">
        <v>2</v>
      </c>
      <c r="E5" s="55">
        <v>3</v>
      </c>
      <c r="F5" s="55">
        <f>+E5+1</f>
        <v>4</v>
      </c>
      <c r="G5" s="55">
        <f t="shared" ref="G5:L5" si="0">+F5+1</f>
        <v>5</v>
      </c>
      <c r="H5" s="55">
        <f t="shared" si="0"/>
        <v>6</v>
      </c>
      <c r="I5" s="55"/>
      <c r="J5" s="55"/>
      <c r="K5" s="55"/>
      <c r="L5" s="55"/>
    </row>
    <row r="6" spans="1:12" s="231" customFormat="1" x14ac:dyDescent="0.25">
      <c r="B6" s="232" t="str">
        <f>'Income Statement'!F4</f>
        <v>FY 2024</v>
      </c>
      <c r="C6" s="232" t="str">
        <f>'Income Statement'!G4</f>
        <v>FY 2025 E</v>
      </c>
      <c r="D6" s="232" t="str">
        <f>'Income Statement'!H4</f>
        <v>FY 2026(E)</v>
      </c>
      <c r="E6" s="232" t="str">
        <f>'Income Statement'!I4</f>
        <v>FY 2027E</v>
      </c>
      <c r="F6" s="232" t="str">
        <f>'Income Statement'!J4</f>
        <v>FY 2028 E</v>
      </c>
      <c r="G6" s="232" t="str">
        <f>'Income Statement'!K4</f>
        <v>FY 2029 E</v>
      </c>
      <c r="H6" s="232" t="str">
        <f>'Income Statement'!L4</f>
        <v>FY 2030 E</v>
      </c>
      <c r="I6" s="232"/>
      <c r="J6" s="233"/>
      <c r="K6" s="233"/>
      <c r="L6" s="233"/>
    </row>
    <row r="8" spans="1:12" x14ac:dyDescent="0.25">
      <c r="A8" s="36" t="s">
        <v>175</v>
      </c>
      <c r="B8" s="6">
        <f>'Income Statement'!F20</f>
        <v>12865</v>
      </c>
      <c r="C8" s="6">
        <f ca="1">'Income Statement'!G20</f>
        <v>14498.043999999994</v>
      </c>
      <c r="D8" s="6">
        <f ca="1">'Income Statement'!H20</f>
        <v>15367.926639999998</v>
      </c>
      <c r="E8" s="6">
        <f ca="1">'Income Statement'!I20</f>
        <v>16290.002238400011</v>
      </c>
      <c r="F8" s="6">
        <f ca="1">'Income Statement'!J20</f>
        <v>17267.402372704011</v>
      </c>
      <c r="G8" s="6">
        <f ca="1">'Income Statement'!K20</f>
        <v>18303.446515066251</v>
      </c>
      <c r="H8" s="6">
        <f ca="1">'Income Statement'!L20</f>
        <v>19401.65330597022</v>
      </c>
      <c r="I8" s="6"/>
      <c r="J8" s="6"/>
      <c r="K8" s="6"/>
      <c r="L8" s="6"/>
    </row>
    <row r="9" spans="1:12" x14ac:dyDescent="0.25">
      <c r="A9" s="36" t="s">
        <v>176</v>
      </c>
      <c r="B9" s="37">
        <f>B8*(1+'Income Statement'!F29)</f>
        <v>10366.523522517999</v>
      </c>
      <c r="C9" s="37">
        <f ca="1">C8*(1+'Income Statement'!G29)</f>
        <v>11743.415639999996</v>
      </c>
      <c r="D9" s="37">
        <f ca="1">D8*(1+'Income Statement'!H29)</f>
        <v>12448.020578399999</v>
      </c>
      <c r="E9" s="37">
        <f ca="1">E8*(1+'Income Statement'!I29)</f>
        <v>13194.90181310401</v>
      </c>
      <c r="F9" s="37">
        <f ca="1">F8*(1+'Income Statement'!J29)</f>
        <v>13986.59592189025</v>
      </c>
      <c r="G9" s="37">
        <f ca="1">G8*(1+'Income Statement'!K29)</f>
        <v>14825.791677203664</v>
      </c>
      <c r="H9" s="37">
        <f ca="1">H8*(1+'Income Statement'!L29)</f>
        <v>15715.339177835878</v>
      </c>
      <c r="I9" s="6"/>
      <c r="J9" s="6"/>
      <c r="K9" s="6"/>
      <c r="L9" s="6"/>
    </row>
    <row r="10" spans="1:12" x14ac:dyDescent="0.25">
      <c r="A10" s="36" t="s">
        <v>177</v>
      </c>
      <c r="B10" s="37">
        <f>'Income Statement'!F35</f>
        <v>3160</v>
      </c>
      <c r="C10" s="37">
        <f>'Income Statement'!G35</f>
        <v>3247.5405059999998</v>
      </c>
      <c r="D10" s="37">
        <f>'Income Statement'!H35</f>
        <v>3538.3517952299999</v>
      </c>
      <c r="E10" s="37">
        <f>'Income Statement'!I35</f>
        <v>3836.5360816324496</v>
      </c>
      <c r="F10" s="37">
        <f>'Income Statement'!J35</f>
        <v>4143.5936914567392</v>
      </c>
      <c r="G10" s="37">
        <f>'Income Statement'!K35</f>
        <v>4461.0038861532184</v>
      </c>
      <c r="H10" s="37">
        <f>'Income Statement'!L35</f>
        <v>4790.2352623445358</v>
      </c>
      <c r="I10" s="6"/>
      <c r="J10" s="6"/>
      <c r="K10" s="6"/>
      <c r="L10" s="6"/>
    </row>
    <row r="11" spans="1:12" x14ac:dyDescent="0.25">
      <c r="B11" s="37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36" t="s">
        <v>178</v>
      </c>
      <c r="B12" s="37">
        <f>'Income Statement'!F36</f>
        <v>5318</v>
      </c>
      <c r="C12" s="37">
        <f>'Income Statement'!G36</f>
        <v>5841.9143999999997</v>
      </c>
      <c r="D12" s="37">
        <f>'Income Statement'!H36</f>
        <v>6192.4292640000003</v>
      </c>
      <c r="E12" s="37">
        <f>'Income Statement'!I36</f>
        <v>6563.9750198400006</v>
      </c>
      <c r="F12" s="37">
        <f>'Income Statement'!J36</f>
        <v>6957.8135210304017</v>
      </c>
      <c r="G12" s="37">
        <f>'Income Statement'!K36</f>
        <v>7375.2823322922259</v>
      </c>
      <c r="H12" s="37">
        <f>'Income Statement'!L36</f>
        <v>7817.7992722297604</v>
      </c>
      <c r="I12" s="6"/>
      <c r="J12" s="6"/>
      <c r="K12" s="6"/>
      <c r="L12" s="6"/>
    </row>
    <row r="13" spans="1:12" x14ac:dyDescent="0.25">
      <c r="B13" s="37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36" t="s">
        <v>179</v>
      </c>
      <c r="B14" s="37">
        <f>'Working capital'!E22</f>
        <v>-765</v>
      </c>
      <c r="C14" s="37">
        <f ca="1">'Working capital'!F22</f>
        <v>1148.2657693150686</v>
      </c>
      <c r="D14" s="37">
        <f ca="1">'Working capital'!G22</f>
        <v>496.87594615890339</v>
      </c>
      <c r="E14" s="37">
        <f ca="1">'Working capital'!H22</f>
        <v>526.68850292844218</v>
      </c>
      <c r="F14" s="37">
        <f ca="1">'Working capital'!I22</f>
        <v>558.28981310414019</v>
      </c>
      <c r="G14" s="37">
        <f ca="1">'Working capital'!J22</f>
        <v>591.78720189039814</v>
      </c>
      <c r="H14" s="37">
        <f ca="1">'Working capital'!K22</f>
        <v>627.29443400381933</v>
      </c>
      <c r="I14" s="6"/>
      <c r="J14" s="6"/>
      <c r="K14" s="6"/>
      <c r="L14" s="6"/>
    </row>
    <row r="15" spans="1:12" s="33" customFormat="1" x14ac:dyDescent="0.25"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</row>
    <row r="16" spans="1:12" s="248" customFormat="1" x14ac:dyDescent="0.25">
      <c r="A16" s="248" t="s">
        <v>180</v>
      </c>
      <c r="B16" s="277">
        <f>B9+B10-B12+B14</f>
        <v>7443.5235225179986</v>
      </c>
      <c r="C16" s="277">
        <f t="shared" ref="C16:H16" ca="1" si="1">C9+C10-C12+C14</f>
        <v>10297.307515315064</v>
      </c>
      <c r="D16" s="277">
        <f t="shared" ca="1" si="1"/>
        <v>10290.819055788901</v>
      </c>
      <c r="E16" s="277">
        <f t="shared" ca="1" si="1"/>
        <v>10994.151377824903</v>
      </c>
      <c r="F16" s="277">
        <f t="shared" ca="1" si="1"/>
        <v>11730.665905420727</v>
      </c>
      <c r="G16" s="277">
        <f t="shared" ca="1" si="1"/>
        <v>12503.300432955053</v>
      </c>
      <c r="H16" s="277">
        <f t="shared" ca="1" si="1"/>
        <v>13315.069601954474</v>
      </c>
      <c r="I16" s="147"/>
      <c r="J16" s="147"/>
      <c r="K16" s="147"/>
      <c r="L16" s="147"/>
    </row>
    <row r="17" spans="1:12" x14ac:dyDescent="0.25">
      <c r="A17" s="36" t="s">
        <v>220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f ca="1">H16*(1+B55)/(B46-B55)</f>
        <v>277170.83661211352</v>
      </c>
      <c r="I17" s="6"/>
      <c r="J17" s="6"/>
      <c r="K17" s="6"/>
      <c r="L17" s="6"/>
    </row>
    <row r="18" spans="1:12" x14ac:dyDescent="0.25">
      <c r="A18" s="36" t="s">
        <v>94</v>
      </c>
      <c r="B18" s="38"/>
      <c r="C18" s="6"/>
      <c r="D18" s="6"/>
      <c r="E18" s="6"/>
      <c r="F18" s="6"/>
      <c r="G18" s="6"/>
      <c r="H18" s="6"/>
      <c r="I18" s="6"/>
      <c r="J18" s="6"/>
      <c r="K18" s="6"/>
      <c r="L18" s="6"/>
    </row>
    <row r="20" spans="1:12" x14ac:dyDescent="0.25">
      <c r="A20" s="45"/>
      <c r="B20" s="46"/>
      <c r="C20" s="234"/>
      <c r="D20" s="32"/>
      <c r="E20" s="32"/>
      <c r="F20" s="32"/>
      <c r="G20" s="32"/>
      <c r="H20" s="32"/>
      <c r="I20" s="32"/>
      <c r="J20" s="32"/>
      <c r="K20" s="32"/>
      <c r="L20" s="32"/>
    </row>
    <row r="21" spans="1:12" s="240" customFormat="1" x14ac:dyDescent="0.25">
      <c r="A21" s="240" t="s">
        <v>181</v>
      </c>
      <c r="C21" s="239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1:12" ht="26.4" x14ac:dyDescent="0.25">
      <c r="A22" s="244" t="s">
        <v>182</v>
      </c>
      <c r="B22" s="245" t="s">
        <v>183</v>
      </c>
      <c r="C22" s="246" t="s">
        <v>184</v>
      </c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36" t="s">
        <v>185</v>
      </c>
      <c r="B23" s="253">
        <v>4.02E-2</v>
      </c>
      <c r="C23" s="36" t="s">
        <v>186</v>
      </c>
    </row>
    <row r="24" spans="1:12" x14ac:dyDescent="0.25">
      <c r="A24" s="36" t="s">
        <v>187</v>
      </c>
      <c r="B24" s="257">
        <v>0.55000000000000004</v>
      </c>
      <c r="C24" s="36" t="s">
        <v>188</v>
      </c>
    </row>
    <row r="25" spans="1:12" ht="26.4" x14ac:dyDescent="0.25">
      <c r="A25" s="36" t="s">
        <v>259</v>
      </c>
      <c r="B25" s="253">
        <v>7.0000000000000007E-2</v>
      </c>
      <c r="C25" s="242" t="s">
        <v>190</v>
      </c>
    </row>
    <row r="26" spans="1:12" x14ac:dyDescent="0.25">
      <c r="B26" s="257"/>
    </row>
    <row r="27" spans="1:12" s="248" customFormat="1" x14ac:dyDescent="0.25">
      <c r="A27" s="248" t="s">
        <v>189</v>
      </c>
      <c r="B27" s="275">
        <f>B23+(B24*(B25))</f>
        <v>7.8700000000000006E-2</v>
      </c>
      <c r="C27" s="248" t="s">
        <v>258</v>
      </c>
    </row>
    <row r="28" spans="1:12" x14ac:dyDescent="0.25">
      <c r="B28" s="257"/>
    </row>
    <row r="29" spans="1:12" s="251" customFormat="1" x14ac:dyDescent="0.25">
      <c r="A29" s="251" t="s">
        <v>196</v>
      </c>
      <c r="B29" s="268" t="s">
        <v>183</v>
      </c>
      <c r="C29" s="251" t="s">
        <v>197</v>
      </c>
      <c r="E29" s="252"/>
      <c r="F29" s="252"/>
      <c r="G29" s="252"/>
      <c r="H29" s="252"/>
      <c r="I29" s="252"/>
    </row>
    <row r="30" spans="1:12" x14ac:dyDescent="0.25">
      <c r="B30" s="257"/>
      <c r="E30" s="57"/>
      <c r="F30" s="57"/>
      <c r="G30" s="57"/>
      <c r="H30" s="57"/>
      <c r="I30" s="57"/>
    </row>
    <row r="31" spans="1:12" ht="26.4" x14ac:dyDescent="0.25">
      <c r="A31" s="36" t="s">
        <v>260</v>
      </c>
      <c r="B31" s="253">
        <v>3.5000000000000003E-2</v>
      </c>
      <c r="C31" s="242" t="s">
        <v>198</v>
      </c>
      <c r="E31" s="57"/>
      <c r="F31" s="57"/>
      <c r="G31" s="57"/>
      <c r="H31" s="57"/>
      <c r="I31" s="57"/>
    </row>
    <row r="32" spans="1:12" ht="26.4" x14ac:dyDescent="0.25">
      <c r="A32" s="36" t="s">
        <v>199</v>
      </c>
      <c r="B32" s="276">
        <v>0.19</v>
      </c>
      <c r="C32" s="242" t="s">
        <v>200</v>
      </c>
      <c r="E32" s="57"/>
      <c r="F32" s="57"/>
      <c r="G32" s="57"/>
      <c r="H32" s="57"/>
      <c r="I32" s="57"/>
    </row>
    <row r="33" spans="1:20" x14ac:dyDescent="0.25">
      <c r="A33" s="36" t="s">
        <v>201</v>
      </c>
      <c r="B33" s="253">
        <f>B31*(1-B32)</f>
        <v>2.8350000000000004E-2</v>
      </c>
      <c r="C33" s="247" t="s">
        <v>202</v>
      </c>
    </row>
    <row r="34" spans="1:20" x14ac:dyDescent="0.25">
      <c r="B34" s="257"/>
    </row>
    <row r="35" spans="1:20" s="251" customFormat="1" ht="26.4" x14ac:dyDescent="0.25">
      <c r="A35" s="243" t="s">
        <v>203</v>
      </c>
      <c r="B35" s="251" t="s">
        <v>183</v>
      </c>
      <c r="C35" s="251" t="s">
        <v>197</v>
      </c>
    </row>
    <row r="37" spans="1:20" x14ac:dyDescent="0.25">
      <c r="A37" s="36" t="s">
        <v>204</v>
      </c>
      <c r="B37" s="36" t="s">
        <v>205</v>
      </c>
      <c r="C37" s="36" t="s">
        <v>206</v>
      </c>
    </row>
    <row r="38" spans="1:20" x14ac:dyDescent="0.25">
      <c r="A38" s="36" t="s">
        <v>207</v>
      </c>
      <c r="B38" s="36" t="s">
        <v>210</v>
      </c>
      <c r="C38" s="36" t="s">
        <v>208</v>
      </c>
    </row>
    <row r="39" spans="1:20" x14ac:dyDescent="0.25">
      <c r="A39" s="36" t="s">
        <v>209</v>
      </c>
      <c r="B39" s="254" t="s">
        <v>211</v>
      </c>
    </row>
    <row r="40" spans="1:20" x14ac:dyDescent="0.25">
      <c r="A40" s="36" t="s">
        <v>212</v>
      </c>
      <c r="B40" s="254" t="s">
        <v>213</v>
      </c>
      <c r="C40" s="36" t="s">
        <v>208</v>
      </c>
      <c r="O40" s="281"/>
      <c r="P40" s="281"/>
      <c r="Q40" s="281"/>
      <c r="R40" s="281"/>
      <c r="S40" s="281"/>
      <c r="T40" s="281"/>
    </row>
    <row r="41" spans="1:20" ht="15" customHeight="1" x14ac:dyDescent="0.25">
      <c r="A41" s="36" t="s">
        <v>214</v>
      </c>
      <c r="B41" s="254" t="s">
        <v>215</v>
      </c>
      <c r="C41" s="36" t="s">
        <v>216</v>
      </c>
    </row>
    <row r="42" spans="1:20" x14ac:dyDescent="0.25">
      <c r="A42" s="36" t="s">
        <v>217</v>
      </c>
      <c r="B42" s="253">
        <v>0.79800000000000004</v>
      </c>
    </row>
    <row r="43" spans="1:20" x14ac:dyDescent="0.25">
      <c r="A43" s="36" t="s">
        <v>218</v>
      </c>
      <c r="B43" s="253">
        <v>0.20200000000000001</v>
      </c>
    </row>
    <row r="45" spans="1:20" s="251" customFormat="1" x14ac:dyDescent="0.25">
      <c r="A45" s="251" t="s">
        <v>219</v>
      </c>
    </row>
    <row r="46" spans="1:20" x14ac:dyDescent="0.25">
      <c r="A46" s="36" t="s">
        <v>44</v>
      </c>
      <c r="B46" s="283">
        <v>6.9000000000000006E-2</v>
      </c>
      <c r="C46" s="255">
        <f>(B27*B42)+(B33*B43)</f>
        <v>6.8529300000000015E-2</v>
      </c>
    </row>
    <row r="50" spans="1:11" s="251" customFormat="1" x14ac:dyDescent="0.25">
      <c r="A50" s="251" t="s">
        <v>220</v>
      </c>
    </row>
    <row r="51" spans="1:11" x14ac:dyDescent="0.25">
      <c r="A51" s="242" t="s">
        <v>221</v>
      </c>
      <c r="B51" s="36" t="s">
        <v>183</v>
      </c>
      <c r="C51" s="36" t="s">
        <v>197</v>
      </c>
    </row>
    <row r="52" spans="1:11" x14ac:dyDescent="0.25">
      <c r="A52" s="242"/>
      <c r="B52" s="242"/>
      <c r="C52" s="242"/>
      <c r="D52" s="242"/>
    </row>
    <row r="53" spans="1:11" ht="26.4" x14ac:dyDescent="0.25">
      <c r="A53" s="242" t="s">
        <v>222</v>
      </c>
      <c r="B53" s="259">
        <f ca="1">H16</f>
        <v>13315.069601954474</v>
      </c>
      <c r="C53" s="242" t="s">
        <v>223</v>
      </c>
      <c r="D53" s="242"/>
    </row>
    <row r="54" spans="1:11" x14ac:dyDescent="0.25">
      <c r="A54" s="242" t="s">
        <v>224</v>
      </c>
      <c r="B54" s="260">
        <f>B46</f>
        <v>6.9000000000000006E-2</v>
      </c>
      <c r="C54" s="242"/>
      <c r="D54" s="242"/>
    </row>
    <row r="55" spans="1:11" ht="26.4" x14ac:dyDescent="0.25">
      <c r="A55" s="242" t="s">
        <v>225</v>
      </c>
      <c r="B55" s="260">
        <v>0.02</v>
      </c>
      <c r="C55" s="242" t="s">
        <v>226</v>
      </c>
    </row>
    <row r="56" spans="1:11" ht="14.4" x14ac:dyDescent="0.3">
      <c r="A56" s="242" t="s">
        <v>227</v>
      </c>
      <c r="B56" s="259">
        <f ca="1">'Income Statement'!L20+H10</f>
        <v>24191.888568314756</v>
      </c>
      <c r="C56" s="242"/>
      <c r="F56"/>
      <c r="G56" s="280" t="s">
        <v>49</v>
      </c>
      <c r="H56" s="280"/>
      <c r="I56" s="280"/>
      <c r="J56" s="280"/>
      <c r="K56" s="280"/>
    </row>
    <row r="57" spans="1:11" x14ac:dyDescent="0.25">
      <c r="A57" s="242" t="s">
        <v>228</v>
      </c>
      <c r="B57" s="261" t="s">
        <v>229</v>
      </c>
      <c r="C57" s="242" t="s">
        <v>230</v>
      </c>
      <c r="G57" s="282" t="s">
        <v>44</v>
      </c>
      <c r="H57" s="282"/>
      <c r="I57" s="282"/>
      <c r="J57" s="282"/>
      <c r="K57" s="282"/>
    </row>
    <row r="58" spans="1:11" x14ac:dyDescent="0.25">
      <c r="A58" s="242"/>
      <c r="B58" s="261"/>
      <c r="C58" s="242"/>
      <c r="F58" s="265">
        <f ca="1">B71</f>
        <v>144.12086853220981</v>
      </c>
      <c r="G58" s="264">
        <v>0.06</v>
      </c>
      <c r="H58" s="264">
        <v>6.5000000000000002E-2</v>
      </c>
      <c r="I58" s="264">
        <v>6.9000000000000006E-2</v>
      </c>
      <c r="J58" s="264">
        <f>+I58+0.01</f>
        <v>7.9000000000000001E-2</v>
      </c>
      <c r="K58" s="264">
        <f>+J58+0.01</f>
        <v>8.8999999999999996E-2</v>
      </c>
    </row>
    <row r="59" spans="1:11" ht="26.4" x14ac:dyDescent="0.25">
      <c r="A59" s="243" t="s">
        <v>231</v>
      </c>
      <c r="B59" s="261"/>
      <c r="C59" s="242"/>
      <c r="E59" s="279" t="s">
        <v>47</v>
      </c>
      <c r="F59" s="278">
        <v>0.01</v>
      </c>
      <c r="G59" s="51">
        <f t="dataTable" ref="G59:K63" dt2D="1" dtr="1" r1="B46" r2="B55" ca="1"/>
        <v>148.13411522336278</v>
      </c>
      <c r="H59" s="31">
        <v>131.40758271597628</v>
      </c>
      <c r="I59" s="31">
        <v>120.07432209326828</v>
      </c>
      <c r="J59" s="31">
        <v>97.511614484332895</v>
      </c>
      <c r="K59" s="22">
        <v>80.686852968296336</v>
      </c>
    </row>
    <row r="60" spans="1:11" x14ac:dyDescent="0.25">
      <c r="A60" s="242"/>
      <c r="B60" s="261"/>
      <c r="C60" s="242"/>
      <c r="E60" s="279"/>
      <c r="F60" s="278">
        <v>1.4999999999999999E-2</v>
      </c>
      <c r="G60" s="274">
        <v>164.24975270690808</v>
      </c>
      <c r="H60" s="91">
        <v>144.28647767941288</v>
      </c>
      <c r="I60" s="91">
        <v>130.98432927389914</v>
      </c>
      <c r="J60" s="91">
        <v>105.02478154507048</v>
      </c>
      <c r="K60" s="130">
        <v>86.106376722016691</v>
      </c>
    </row>
    <row r="61" spans="1:11" ht="26.4" x14ac:dyDescent="0.25">
      <c r="A61" s="242" t="s">
        <v>232</v>
      </c>
      <c r="B61" s="263">
        <f ca="1">NPV(B46,C16:H16)</f>
        <v>54499.155483794515</v>
      </c>
      <c r="C61" s="242" t="s">
        <v>234</v>
      </c>
      <c r="E61" s="279"/>
      <c r="F61" s="278">
        <v>0.02</v>
      </c>
      <c r="G61" s="274">
        <v>184.39429956133975</v>
      </c>
      <c r="H61" s="91">
        <v>160.02734930139101</v>
      </c>
      <c r="I61" s="241">
        <v>144.12086853220981</v>
      </c>
      <c r="J61" s="91">
        <v>113.81136675169581</v>
      </c>
      <c r="K61" s="130">
        <v>92.311338700913993</v>
      </c>
    </row>
    <row r="62" spans="1:11" x14ac:dyDescent="0.25">
      <c r="A62" s="242" t="s">
        <v>233</v>
      </c>
      <c r="B62" s="263">
        <f ca="1">NPV(B46,C17:H17)</f>
        <v>185729.67614239734</v>
      </c>
      <c r="C62" s="242" t="s">
        <v>235</v>
      </c>
      <c r="E62" s="279"/>
      <c r="F62" s="278">
        <f>+F61+0.005</f>
        <v>2.5000000000000001E-2</v>
      </c>
      <c r="G62" s="52">
        <v>210.29443123132327</v>
      </c>
      <c r="H62" s="91">
        <v>179.7034388288636</v>
      </c>
      <c r="I62" s="91">
        <v>160.24298489468194</v>
      </c>
      <c r="J62" s="91">
        <v>124.22509736695542</v>
      </c>
      <c r="K62" s="24">
        <v>99.485825989013932</v>
      </c>
    </row>
    <row r="63" spans="1:11" x14ac:dyDescent="0.25">
      <c r="A63" s="242"/>
      <c r="B63" s="263"/>
      <c r="C63" s="242"/>
      <c r="E63" s="279"/>
      <c r="F63" s="278">
        <f>+F62+0.005</f>
        <v>3.0000000000000002E-2</v>
      </c>
      <c r="G63" s="53">
        <v>244.82794012463467</v>
      </c>
      <c r="H63" s="54">
        <v>205.00126822132836</v>
      </c>
      <c r="I63" s="54">
        <v>180.49897724753157</v>
      </c>
      <c r="J63" s="54">
        <v>136.76407912818641</v>
      </c>
      <c r="K63" s="50">
        <v>107.87632807170716</v>
      </c>
    </row>
    <row r="64" spans="1:11" ht="26.4" x14ac:dyDescent="0.25">
      <c r="A64" s="242" t="s">
        <v>236</v>
      </c>
      <c r="B64" s="263">
        <f ca="1">B61+B62</f>
        <v>240228.83162619185</v>
      </c>
      <c r="C64" s="242" t="s">
        <v>237</v>
      </c>
      <c r="D64" s="242"/>
    </row>
    <row r="65" spans="1:4" x14ac:dyDescent="0.25">
      <c r="A65" s="242" t="s">
        <v>238</v>
      </c>
      <c r="B65" s="262">
        <f>'Balance Sheet'!F18</f>
        <v>8505</v>
      </c>
      <c r="C65" s="242"/>
      <c r="D65" s="242"/>
    </row>
    <row r="66" spans="1:4" x14ac:dyDescent="0.25">
      <c r="A66" s="242" t="s">
        <v>239</v>
      </c>
      <c r="B66" s="262">
        <v>51000</v>
      </c>
      <c r="C66" s="242"/>
      <c r="D66" s="242"/>
    </row>
    <row r="67" spans="1:4" x14ac:dyDescent="0.25">
      <c r="A67" s="242"/>
      <c r="B67" s="261"/>
      <c r="C67" s="242"/>
      <c r="D67" s="242"/>
    </row>
    <row r="68" spans="1:4" ht="26.4" x14ac:dyDescent="0.25">
      <c r="A68" s="242" t="s">
        <v>48</v>
      </c>
      <c r="B68" s="270">
        <f ca="1">B64+B65-B66</f>
        <v>197733.83162619185</v>
      </c>
      <c r="C68" s="242" t="s">
        <v>240</v>
      </c>
      <c r="D68" s="242"/>
    </row>
    <row r="69" spans="1:4" x14ac:dyDescent="0.25">
      <c r="A69" s="242"/>
      <c r="B69" s="261"/>
      <c r="C69" s="242"/>
      <c r="D69" s="242"/>
    </row>
    <row r="70" spans="1:4" x14ac:dyDescent="0.25">
      <c r="A70" s="242" t="s">
        <v>241</v>
      </c>
      <c r="B70" s="261" t="s">
        <v>210</v>
      </c>
      <c r="C70" s="242" t="s">
        <v>243</v>
      </c>
      <c r="D70" s="242"/>
    </row>
    <row r="71" spans="1:4" s="251" customFormat="1" x14ac:dyDescent="0.25">
      <c r="A71" s="243" t="s">
        <v>242</v>
      </c>
      <c r="B71" s="266">
        <f ca="1">B68/1372</f>
        <v>144.12086853220981</v>
      </c>
      <c r="C71" s="243"/>
      <c r="D71" s="243"/>
    </row>
    <row r="72" spans="1:4" x14ac:dyDescent="0.25">
      <c r="B72" s="257"/>
    </row>
    <row r="74" spans="1:4" x14ac:dyDescent="0.25">
      <c r="A74" s="251" t="s">
        <v>244</v>
      </c>
    </row>
    <row r="75" spans="1:4" x14ac:dyDescent="0.25">
      <c r="A75" s="251"/>
    </row>
    <row r="76" spans="1:4" s="273" customFormat="1" x14ac:dyDescent="0.25">
      <c r="A76" s="271" t="s">
        <v>247</v>
      </c>
      <c r="B76" s="271" t="s">
        <v>183</v>
      </c>
      <c r="C76" s="271" t="s">
        <v>184</v>
      </c>
    </row>
    <row r="77" spans="1:4" x14ac:dyDescent="0.25">
      <c r="A77" s="257" t="s">
        <v>245</v>
      </c>
      <c r="B77" s="256">
        <f ca="1">B56</f>
        <v>24191.888568314756</v>
      </c>
      <c r="C77" s="257" t="s">
        <v>253</v>
      </c>
    </row>
    <row r="78" spans="1:4" x14ac:dyDescent="0.25">
      <c r="A78" s="257" t="s">
        <v>246</v>
      </c>
      <c r="B78" s="257" t="s">
        <v>229</v>
      </c>
      <c r="C78" s="257" t="s">
        <v>254</v>
      </c>
    </row>
    <row r="79" spans="1:4" x14ac:dyDescent="0.25">
      <c r="A79" s="257" t="s">
        <v>44</v>
      </c>
      <c r="B79" s="253">
        <f>B46</f>
        <v>6.9000000000000006E-2</v>
      </c>
      <c r="C79" s="257"/>
    </row>
    <row r="80" spans="1:4" x14ac:dyDescent="0.25">
      <c r="A80" s="257" t="s">
        <v>220</v>
      </c>
      <c r="B80" s="257">
        <v>350784</v>
      </c>
      <c r="C80" s="257" t="s">
        <v>255</v>
      </c>
    </row>
    <row r="81" spans="1:3" x14ac:dyDescent="0.25">
      <c r="A81" s="257"/>
      <c r="B81" s="257"/>
      <c r="C81" s="257"/>
    </row>
    <row r="82" spans="1:3" x14ac:dyDescent="0.25">
      <c r="A82" s="257" t="s">
        <v>248</v>
      </c>
      <c r="B82" s="267">
        <f>PV(B79,6,0,B80)*-1</f>
        <v>235057.19256860425</v>
      </c>
      <c r="C82" s="257"/>
    </row>
    <row r="83" spans="1:3" x14ac:dyDescent="0.25">
      <c r="A83" s="257" t="s">
        <v>250</v>
      </c>
      <c r="B83" s="258">
        <f ca="1">B61</f>
        <v>54499.155483794515</v>
      </c>
      <c r="C83" s="257"/>
    </row>
    <row r="84" spans="1:3" x14ac:dyDescent="0.25">
      <c r="A84" s="257" t="s">
        <v>51</v>
      </c>
      <c r="B84" s="272">
        <v>289523</v>
      </c>
      <c r="C84" s="257"/>
    </row>
    <row r="85" spans="1:3" x14ac:dyDescent="0.25">
      <c r="A85" s="257" t="s">
        <v>251</v>
      </c>
      <c r="B85" s="258">
        <f>B65</f>
        <v>8505</v>
      </c>
      <c r="C85" s="257" t="s">
        <v>17</v>
      </c>
    </row>
    <row r="86" spans="1:3" x14ac:dyDescent="0.25">
      <c r="A86" s="257" t="s">
        <v>252</v>
      </c>
      <c r="B86" s="258">
        <f>B66</f>
        <v>51000</v>
      </c>
      <c r="C86" s="257"/>
    </row>
    <row r="87" spans="1:3" x14ac:dyDescent="0.25">
      <c r="A87" s="257" t="s">
        <v>48</v>
      </c>
      <c r="B87" s="272">
        <f>B84+B85-B86</f>
        <v>247028</v>
      </c>
      <c r="C87" s="257"/>
    </row>
    <row r="88" spans="1:3" x14ac:dyDescent="0.25">
      <c r="A88" s="257" t="s">
        <v>256</v>
      </c>
      <c r="B88" s="257" t="s">
        <v>210</v>
      </c>
      <c r="C88" s="257" t="s">
        <v>257</v>
      </c>
    </row>
    <row r="89" spans="1:3" s="251" customFormat="1" x14ac:dyDescent="0.25">
      <c r="A89" s="268" t="s">
        <v>249</v>
      </c>
      <c r="B89" s="269">
        <f>B87/1372</f>
        <v>180.04956268221574</v>
      </c>
      <c r="C89" s="268"/>
    </row>
    <row r="132" spans="1:2" x14ac:dyDescent="0.25">
      <c r="A132" s="39"/>
      <c r="B132" s="235"/>
    </row>
    <row r="133" spans="1:2" x14ac:dyDescent="0.25">
      <c r="A133" s="47"/>
      <c r="B133" s="236"/>
    </row>
    <row r="134" spans="1:2" x14ac:dyDescent="0.25">
      <c r="A134" s="48"/>
      <c r="B134" s="43"/>
    </row>
    <row r="135" spans="1:2" x14ac:dyDescent="0.25">
      <c r="A135" s="48"/>
      <c r="B135" s="49"/>
    </row>
    <row r="136" spans="1:2" x14ac:dyDescent="0.25">
      <c r="A136" s="47"/>
      <c r="B136" s="130"/>
    </row>
    <row r="137" spans="1:2" x14ac:dyDescent="0.25">
      <c r="A137" s="48"/>
      <c r="B137" s="130"/>
    </row>
    <row r="138" spans="1:2" x14ac:dyDescent="0.25">
      <c r="A138" s="48"/>
      <c r="B138" s="130"/>
    </row>
    <row r="139" spans="1:2" x14ac:dyDescent="0.25">
      <c r="A139" s="48"/>
      <c r="B139" s="130"/>
    </row>
    <row r="140" spans="1:2" x14ac:dyDescent="0.25">
      <c r="A140" s="48"/>
      <c r="B140" s="130"/>
    </row>
    <row r="141" spans="1:2" x14ac:dyDescent="0.25">
      <c r="A141" s="47"/>
      <c r="B141" s="237"/>
    </row>
    <row r="142" spans="1:2" x14ac:dyDescent="0.25">
      <c r="A142" s="48"/>
    </row>
    <row r="143" spans="1:2" x14ac:dyDescent="0.25">
      <c r="A143" s="48"/>
      <c r="B143" s="130"/>
    </row>
    <row r="144" spans="1:2" x14ac:dyDescent="0.25">
      <c r="A144" s="41"/>
      <c r="B144" s="238"/>
    </row>
    <row r="145" spans="1:2" x14ac:dyDescent="0.25">
      <c r="B145" s="91"/>
    </row>
    <row r="146" spans="1:2" x14ac:dyDescent="0.25">
      <c r="A146" s="39"/>
      <c r="B146" s="40"/>
    </row>
    <row r="147" spans="1:2" x14ac:dyDescent="0.25">
      <c r="A147" s="41"/>
      <c r="B147" s="42"/>
    </row>
  </sheetData>
  <mergeCells count="4">
    <mergeCell ref="E59:E63"/>
    <mergeCell ref="G56:K56"/>
    <mergeCell ref="O40:T40"/>
    <mergeCell ref="G57:K57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67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K24"/>
  <sheetViews>
    <sheetView showGridLines="0" zoomScale="85" zoomScaleNormal="85" workbookViewId="0">
      <selection activeCell="G22" sqref="G22"/>
    </sheetView>
  </sheetViews>
  <sheetFormatPr defaultColWidth="8.77734375" defaultRowHeight="13.2" x14ac:dyDescent="0.25"/>
  <cols>
    <col min="1" max="2" width="8.77734375" style="1"/>
    <col min="3" max="3" width="26.33203125" style="1" bestFit="1" customWidth="1"/>
    <col min="4" max="5" width="8.77734375" style="1"/>
    <col min="6" max="6" width="5.44140625" style="1" bestFit="1" customWidth="1"/>
    <col min="7" max="7" width="42.77734375" style="1" bestFit="1" customWidth="1"/>
    <col min="8" max="8" width="5.44140625" style="1" bestFit="1" customWidth="1"/>
    <col min="9" max="9" width="12.6640625" style="1" bestFit="1" customWidth="1"/>
    <col min="10" max="16384" width="8.77734375" style="1"/>
  </cols>
  <sheetData>
    <row r="4" spans="3:10" x14ac:dyDescent="0.25">
      <c r="C4" s="1" t="s">
        <v>61</v>
      </c>
      <c r="D4" s="1">
        <f ca="1">+DCF!$C$8</f>
        <v>14498.043999999994</v>
      </c>
    </row>
    <row r="6" spans="3:10" x14ac:dyDescent="0.25">
      <c r="C6" s="60" t="s">
        <v>60</v>
      </c>
      <c r="D6" s="59">
        <f ca="1">+G6*J6</f>
        <v>144980.43999999994</v>
      </c>
      <c r="E6" s="59">
        <f ca="1">+F6-D6</f>
        <v>28996.087999999989</v>
      </c>
      <c r="F6" s="59">
        <f ca="1">+H6*J6</f>
        <v>173976.52799999993</v>
      </c>
      <c r="G6" s="58">
        <v>10</v>
      </c>
      <c r="H6" s="58">
        <v>12</v>
      </c>
      <c r="I6" s="1" t="s">
        <v>54</v>
      </c>
      <c r="J6" s="1">
        <f ca="1">+DCF!C8</f>
        <v>14498.043999999994</v>
      </c>
    </row>
    <row r="7" spans="3:10" x14ac:dyDescent="0.25">
      <c r="C7" s="1" t="s">
        <v>55</v>
      </c>
      <c r="D7" s="59">
        <v>550</v>
      </c>
      <c r="E7" s="59">
        <f>+F7-D7</f>
        <v>200</v>
      </c>
      <c r="F7" s="59">
        <v>750</v>
      </c>
      <c r="G7" s="1" t="s">
        <v>57</v>
      </c>
    </row>
    <row r="8" spans="3:10" x14ac:dyDescent="0.25">
      <c r="C8" s="1" t="s">
        <v>53</v>
      </c>
      <c r="D8" s="59">
        <v>510</v>
      </c>
      <c r="E8" s="59">
        <f>+F8-D8</f>
        <v>70</v>
      </c>
      <c r="F8" s="59">
        <v>580</v>
      </c>
      <c r="G8" s="1" t="s">
        <v>58</v>
      </c>
    </row>
    <row r="9" spans="3:10" x14ac:dyDescent="0.25">
      <c r="C9" s="1" t="s">
        <v>56</v>
      </c>
      <c r="D9" s="59">
        <v>440</v>
      </c>
      <c r="E9" s="59">
        <f>+F9-D9</f>
        <v>50</v>
      </c>
      <c r="F9" s="59">
        <v>490</v>
      </c>
      <c r="G9" s="1" t="s">
        <v>59</v>
      </c>
    </row>
    <row r="14" spans="3:10" x14ac:dyDescent="0.25">
      <c r="C14" s="1" t="str">
        <f>+C9</f>
        <v>LBO (5 year exit)</v>
      </c>
      <c r="D14" s="1">
        <f>+D9</f>
        <v>440</v>
      </c>
      <c r="E14" s="1">
        <f>+E9</f>
        <v>50</v>
      </c>
    </row>
    <row r="15" spans="3:10" x14ac:dyDescent="0.25">
      <c r="C15" s="1" t="str">
        <f>+C8</f>
        <v>FCFE</v>
      </c>
      <c r="D15" s="1">
        <f>+D8</f>
        <v>510</v>
      </c>
      <c r="E15" s="1">
        <f>+E8</f>
        <v>70</v>
      </c>
    </row>
    <row r="16" spans="3:10" x14ac:dyDescent="0.25">
      <c r="C16" s="1" t="str">
        <f>+C7</f>
        <v>DCF</v>
      </c>
      <c r="D16" s="1">
        <f>+D7</f>
        <v>550</v>
      </c>
      <c r="E16" s="1">
        <f>+E7</f>
        <v>200</v>
      </c>
    </row>
    <row r="17" spans="3:11" x14ac:dyDescent="0.25">
      <c r="C17" s="1" t="str">
        <f>+C6</f>
        <v>Trading Comps FY+1 EBITDA</v>
      </c>
      <c r="D17" s="1">
        <f ca="1">+D6</f>
        <v>144980.43999999994</v>
      </c>
      <c r="E17" s="1">
        <f ca="1">+E6</f>
        <v>28996.087999999989</v>
      </c>
    </row>
    <row r="21" spans="3:11" x14ac:dyDescent="0.25">
      <c r="C21" s="60" t="s">
        <v>60</v>
      </c>
      <c r="D21" s="58">
        <f ca="1">D6/$D$4</f>
        <v>10</v>
      </c>
      <c r="F21" s="58">
        <f ca="1">F6/$D$4</f>
        <v>12</v>
      </c>
      <c r="J21" s="1">
        <v>400</v>
      </c>
      <c r="K21" s="1">
        <v>750</v>
      </c>
    </row>
    <row r="22" spans="3:11" x14ac:dyDescent="0.25">
      <c r="C22" s="1" t="s">
        <v>55</v>
      </c>
      <c r="D22" s="58">
        <f ca="1">D7/$D$4</f>
        <v>3.7936151938840867E-2</v>
      </c>
      <c r="F22" s="58">
        <f ca="1">F7/$D$4</f>
        <v>5.1731116280237549E-2</v>
      </c>
      <c r="J22" s="1">
        <f ca="1">+J21/DCF!$C$8</f>
        <v>2.758992868279336E-2</v>
      </c>
      <c r="K22" s="1">
        <f ca="1">+K21/DCF!$C$8</f>
        <v>5.1731116280237549E-2</v>
      </c>
    </row>
    <row r="23" spans="3:11" x14ac:dyDescent="0.25">
      <c r="C23" s="1" t="s">
        <v>53</v>
      </c>
      <c r="D23" s="58">
        <f ca="1">D8/$D$4</f>
        <v>3.5177159070561535E-2</v>
      </c>
      <c r="F23" s="58">
        <f ca="1">F8/$D$4</f>
        <v>4.0005396590050368E-2</v>
      </c>
    </row>
    <row r="24" spans="3:11" x14ac:dyDescent="0.25">
      <c r="C24" s="1" t="s">
        <v>56</v>
      </c>
      <c r="D24" s="58">
        <f ca="1">D9/$D$4</f>
        <v>3.0348921551072695E-2</v>
      </c>
      <c r="F24" s="58">
        <f ca="1">F9/$D$4</f>
        <v>3.3797662636421866E-2</v>
      </c>
    </row>
  </sheetData>
  <pageMargins left="0.75" right="0.75" top="1" bottom="1" header="0.3" footer="0.3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4"/>
  <sheetViews>
    <sheetView workbookViewId="0">
      <selection activeCell="G22" sqref="G22"/>
    </sheetView>
  </sheetViews>
  <sheetFormatPr defaultColWidth="8.77734375" defaultRowHeight="14.4" x14ac:dyDescent="0.3"/>
  <sheetData>
    <row r="2" spans="1:8" x14ac:dyDescent="0.3">
      <c r="C2">
        <v>300</v>
      </c>
      <c r="D2">
        <f>+C2+100</f>
        <v>400</v>
      </c>
      <c r="E2">
        <f>+D2+100</f>
        <v>500</v>
      </c>
      <c r="F2">
        <f>+E2+100</f>
        <v>600</v>
      </c>
      <c r="G2">
        <f>+F2+100</f>
        <v>700</v>
      </c>
      <c r="H2">
        <f>+G2+100</f>
        <v>800</v>
      </c>
    </row>
    <row r="3" spans="1:8" x14ac:dyDescent="0.3">
      <c r="A3" t="s">
        <v>61</v>
      </c>
      <c r="B3">
        <f ca="1">+DCF!$C$8</f>
        <v>14498.043999999994</v>
      </c>
      <c r="C3" s="58">
        <f t="shared" ref="C3:H3" ca="1" si="0">C2/$B$3</f>
        <v>2.0692446512095019E-2</v>
      </c>
      <c r="D3" s="58">
        <f t="shared" ca="1" si="0"/>
        <v>2.758992868279336E-2</v>
      </c>
      <c r="E3" s="58">
        <f t="shared" ca="1" si="0"/>
        <v>3.4487410853491697E-2</v>
      </c>
      <c r="F3" s="58">
        <f t="shared" ca="1" si="0"/>
        <v>4.1384893024190038E-2</v>
      </c>
      <c r="G3" s="58">
        <f t="shared" ca="1" si="0"/>
        <v>4.8282375194888379E-2</v>
      </c>
      <c r="H3" s="58">
        <f t="shared" ca="1" si="0"/>
        <v>5.5179857365586719E-2</v>
      </c>
    </row>
    <row r="4" spans="1:8" x14ac:dyDescent="0.3">
      <c r="A4" t="s">
        <v>62</v>
      </c>
      <c r="B4">
        <f ca="1">+DCF!$D$8</f>
        <v>15367.926639999998</v>
      </c>
      <c r="C4" s="58">
        <f t="shared" ref="C4:H4" ca="1" si="1">C2/$B$4</f>
        <v>1.9521175954806617E-2</v>
      </c>
      <c r="D4" s="58">
        <f t="shared" ca="1" si="1"/>
        <v>2.6028234606408823E-2</v>
      </c>
      <c r="E4" s="58">
        <f t="shared" ca="1" si="1"/>
        <v>3.2535293258011029E-2</v>
      </c>
      <c r="F4" s="58">
        <f t="shared" ca="1" si="1"/>
        <v>3.9042351909613235E-2</v>
      </c>
      <c r="G4" s="58">
        <f t="shared" ca="1" si="1"/>
        <v>4.5549410561215441E-2</v>
      </c>
      <c r="H4" s="58">
        <f t="shared" ca="1" si="1"/>
        <v>5.2056469212817646E-2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Dashboard</vt:lpstr>
      <vt:lpstr>Income Statement</vt:lpstr>
      <vt:lpstr>Cash Flow Statement</vt:lpstr>
      <vt:lpstr>Balance Sheet</vt:lpstr>
      <vt:lpstr>Shareholders equity</vt:lpstr>
      <vt:lpstr>Working capital</vt:lpstr>
      <vt:lpstr>PPE Schedule</vt:lpstr>
      <vt:lpstr>Debt Schedule</vt:lpstr>
      <vt:lpstr>DCF</vt:lpstr>
      <vt:lpstr>Football Field</vt:lpstr>
      <vt:lpstr>Charts</vt:lpstr>
      <vt:lpstr>'Balance Sheet'!Print_Area</vt:lpstr>
      <vt:lpstr>DCF!Print_Area</vt:lpstr>
      <vt:lpstr>'Debt Schedule'!Print_Area</vt:lpstr>
      <vt:lpstr>'Income Statement'!Print_Area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Akshay jain</cp:lastModifiedBy>
  <cp:lastPrinted>2016-03-20T15:32:52Z</cp:lastPrinted>
  <dcterms:created xsi:type="dcterms:W3CDTF">2016-03-20T09:22:44Z</dcterms:created>
  <dcterms:modified xsi:type="dcterms:W3CDTF">2025-11-30T20:13:25Z</dcterms:modified>
</cp:coreProperties>
</file>